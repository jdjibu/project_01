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Assumptions" sheetId="2" state="visible" r:id="rId4"/>
    <sheet name="Drivers" sheetId="3" state="visible" r:id="rId5"/>
    <sheet name="IS" sheetId="4" state="visible" r:id="rId6"/>
    <sheet name="BS" sheetId="5" state="visible" r:id="rId7"/>
    <sheet name="CF" sheetId="6" state="visible" r:id="rId8"/>
    <sheet name="DCF" sheetId="7" state="visible" r:id="rId9"/>
    <sheet name="Comps" sheetId="8" state="visible" r:id="rId10"/>
    <sheet name="Sensitivity" sheetId="9" state="visible" r:id="rId11"/>
    <sheet name="Football" sheetId="10" state="visible" r:id="rId12"/>
    <sheet name="Checks" sheetId="11" state="visible" r:id="rId13"/>
  </sheets>
  <definedNames>
    <definedName function="false" hidden="false" name="Scenario" vbProcedure="false">Assumptions!$D$4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<sst xmlns="http://schemas.openxmlformats.org/spreadsheetml/2006/main" count="605" uniqueCount="435">
  <si>
    <t xml:space="preserve">Makita Corporation (6586 JP): initiation model</t>
  </si>
  <si>
    <t xml:space="preserve">By James Pieter Djibu, BSc Economics, Nagoya University, Class of 2028 (jamespieter16@gmail.com)</t>
  </si>
  <si>
    <t xml:space="preserve">Student research project, not investment advice. IFRS, JPY m, FY ends 31 March.</t>
  </si>
  <si>
    <t xml:space="preserve">Scenario</t>
  </si>
  <si>
    <t xml:space="preserve">Rating</t>
  </si>
  <si>
    <t xml:space="preserve">12-month target price (JPY)</t>
  </si>
  <si>
    <t xml:space="preserve">Current price (JPY)</t>
  </si>
  <si>
    <t xml:space="preserve">Upside / (downside)</t>
  </si>
  <si>
    <t xml:space="preserve">DCF value, Gordon (JPY)</t>
  </si>
  <si>
    <t xml:space="preserve">DCF value, exit multiple (JPY)</t>
  </si>
  <si>
    <t xml:space="preserve">WACC</t>
  </si>
  <si>
    <t xml:space="preserve">Cost of equity</t>
  </si>
  <si>
    <t xml:space="preserve">Model checks</t>
  </si>
  <si>
    <t xml:space="preserve">How to use: change Assumptions!D4 (1 Base, 2 Bull, 3 Bear). Everything recalculates.</t>
  </si>
  <si>
    <t xml:space="preserve">Colour code: blue = input or historical fact; black = formula; tinted = key output.</t>
  </si>
  <si>
    <t xml:space="preserve">Sheets: Assumptions &gt; Drivers (regional revenue x FX) &gt; IS &gt; BS &gt; CF &gt; DCF &gt; Comps &gt; Sensitivity &gt; Football &gt; Checks.</t>
  </si>
  <si>
    <t xml:space="preserve">Sources: Makita earnings releases and audited statements; yfinance; MoF JGB; Damodaran. See SOURCES.md.</t>
  </si>
  <si>
    <t xml:space="preserve">Built by src/build_model.py and recalculated in LibreOffice; values are cached so the file opens with results.</t>
  </si>
  <si>
    <t xml:space="preserve">Assumptions</t>
  </si>
  <si>
    <t xml:space="preserve">Every forecast driver lives here. Change the scenario in D4. Blue = input.</t>
  </si>
  <si>
    <t xml:space="preserve">Scenario switch: 1 = Base, 2 = Bull, 3 = Bear</t>
  </si>
  <si>
    <t xml:space="preserve">Time-series drivers (live row = CHOOSE on scenario)</t>
  </si>
  <si>
    <t xml:space="preserve">FY2022A</t>
  </si>
  <si>
    <t xml:space="preserve">FY2023A</t>
  </si>
  <si>
    <t xml:space="preserve">FY2024A</t>
  </si>
  <si>
    <t xml:space="preserve">FY2025A</t>
  </si>
  <si>
    <t xml:space="preserve">FY2026A</t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</si>
  <si>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</si>
  <si>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</si>
  <si>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</si>
  <si>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</si>
  <si>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</si>
  <si>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Source / note</t>
  </si>
  <si>
    <t xml:space="preserve">Local-currency growth: Europe (live)</t>
  </si>
  <si>
    <t xml:space="preserve">%</t>
  </si>
  <si>
    <t xml:space="preserve">Implied LC growth FY2026 -1.5%, 1Q FY2027 -1.8% (Drivers sheet; 1Q: +11.2% in JPY vs EUR +13.2%). Base: flat FY27, then cordless/OPE-led recovery to ~3%</t>
  </si>
  <si>
    <t xml:space="preserve">   Base</t>
  </si>
  <si>
    <t xml:space="preserve">   Bull</t>
  </si>
  <si>
    <t xml:space="preserve">   Bear</t>
  </si>
  <si>
    <t xml:space="preserve">Local-currency growth: Japan (live)</t>
  </si>
  <si>
    <t xml:space="preserve">FY2026 +3.9%, 1Q FY2027 +4.1%; housing starts falling. Base fades to ~2%</t>
  </si>
  <si>
    <t xml:space="preserve">Local-currency growth: North America (live)</t>
  </si>
  <si>
    <t xml:space="preserve">FY2026 LC -5%, 1Q FY2027 LC about +7% after tariff disruption. Base 3%: share stable vs TTI/DeWalt</t>
  </si>
  <si>
    <t xml:space="preserve">Local-currency growth: Rest of world (live)</t>
  </si>
  <si>
    <t xml:space="preserve">Asia, Latin America, Oceania, Middle East &amp; Africa; USD used as FX proxy. FY2026 implied LC +5%, 1Q FY2027 ~0%</t>
  </si>
  <si>
    <t xml:space="preserve">USD/JPY (fiscal-year average) (live)</t>
  </si>
  <si>
    <t xml:space="preserve">JPY</t>
  </si>
  <si>
    <t xml:space="preserve">Base: 1Q actual 159.57 blended with spot 157.82 (29 Oct 2026) for 3 quarters, then spot held (random walk). Bull: yen -5%. Bear: yen +10%</t>
  </si>
  <si>
    <t xml:space="preserve">EUR/JPY (fiscal-year average) (live)</t>
  </si>
  <si>
    <t xml:space="preserve">Base: 1Q actual 185.41 blended with spot 176.03 for 3 quarters, then spot held. Bull: yen -5%. Bear: yen +10%</t>
  </si>
  <si>
    <t xml:space="preserve">Gross margin (live)</t>
  </si>
  <si>
    <t xml:space="preserve">FY2026 36.5%; 1Q FY2027 39.3% helped by one-off US tariff refund (non-recurring). Bear: FY2024-style inventory correction (30.2% then) but milder</t>
  </si>
  <si>
    <t xml:space="preserve">SG&amp;A, % of revenue (live)</t>
  </si>
  <si>
    <t xml:space="preserve">FY2026 23.1%, 1Q FY2027 24.5% (sales headcount build under Vision FY2030). Base: modest operating leverage</t>
  </si>
  <si>
    <t xml:space="preserve">Receivable days (on revenue) (live)</t>
  </si>
  <si>
    <t xml:space="preserve">days</t>
  </si>
  <si>
    <t xml:space="preserve">FY2018-26 range 51-60; FY2026 57</t>
  </si>
  <si>
    <t xml:space="preserve">Inventory days (on cost of sales) (live)</t>
  </si>
  <si>
    <t xml:space="preserve">FY2026 278, FY2018-26 average ex FY2022-23 = 249. Base: gradual normalisation to 255</t>
  </si>
  <si>
    <t xml:space="preserve">Payable days (on cost of sales) (live)</t>
  </si>
  <si>
    <t xml:space="preserve">FY2025-26 41</t>
  </si>
  <si>
    <t xml:space="preserve">Other current assets, % of revenue (live)</t>
  </si>
  <si>
    <t xml:space="preserve">FY2026 2.5%</t>
  </si>
  <si>
    <t xml:space="preserve">Other operating liabilities, % of revenue (live)</t>
  </si>
  <si>
    <t xml:space="preserve">Tax payable + provisions + other current liabilities; FY2026 9.8%</t>
  </si>
  <si>
    <t xml:space="preserve">Capex, % of revenue (live)</t>
  </si>
  <si>
    <t xml:space="preserve">Company guides JPY 30bn for FY2027 (about 3.6% of base revenue); FY2018-26 average 5.0%, FY2024-26 2.5%</t>
  </si>
  <si>
    <t xml:space="preserve">Share buybacks (JPY m) (live)</t>
  </si>
  <si>
    <t xml:space="preserve">JPY m</t>
  </si>
  <si>
    <t xml:space="preserve">No programme announced beyond 1Q FY2027 purchases; base assumes none (does not change DCF value per share)</t>
  </si>
  <si>
    <t xml:space="preserve">Single-value assumptions        (D = Base, E = Bull, F = Bear, G = live)</t>
  </si>
  <si>
    <t xml:space="preserve">Base</t>
  </si>
  <si>
    <t xml:space="preserve">Bull</t>
  </si>
  <si>
    <t xml:space="preserve">Bear</t>
  </si>
  <si>
    <t xml:space="preserve">Live</t>
  </si>
  <si>
    <t xml:space="preserve">Effective tax rate</t>
  </si>
  <si>
    <t xml:space="preserve">FY2025 27.0%, FY2026 26.5%; Japan statutory about 30.6%, lower overseas rates</t>
  </si>
  <si>
    <t xml:space="preserve">Depreciation ex right-of-use, % of opening PP&amp;E</t>
  </si>
  <si>
    <t xml:space="preserve">FY2026: 25,205 / 266,609 = 9.5%; company guides D&amp;A JPY 25.0bn for FY2027</t>
  </si>
  <si>
    <t xml:space="preserve">Right-of-use depreciation = lease payments, % of revenue</t>
  </si>
  <si>
    <t xml:space="preserve">FY2026: CF D&amp;A 30,465 less D&amp;A ex-ROU 25,205 = 5,260 (0.68%); lease repayments 5,151</t>
  </si>
  <si>
    <t xml:space="preserve">Interest yield on opening cash and deposits</t>
  </si>
  <si>
    <t xml:space="preserve">FY2026 interest received 5,936 on about JPY 292bn (2.0%); lower overseas rates assumed</t>
  </si>
  <si>
    <t xml:space="preserve">Financial expenses (JPY m per year)</t>
  </si>
  <si>
    <t xml:space="preserve">Lease interest 981 (FY2026 note) + other</t>
  </si>
  <si>
    <t xml:space="preserve">NCI share of profit</t>
  </si>
  <si>
    <t xml:space="preserve">FY2025-26 about 0%</t>
  </si>
  <si>
    <t xml:space="preserve">Dividend payout ratio</t>
  </si>
  <si>
    <t xml:space="preserve">Policy: consolidated payout of 50% or more (FY2026 release)</t>
  </si>
  <si>
    <t xml:space="preserve">Minimum operating cash (JPY m)</t>
  </si>
  <si>
    <t xml:space="preserve">Revolver draws if cash falls below this</t>
  </si>
  <si>
    <t xml:space="preserve">Terminal growth (Gordon)</t>
  </si>
  <si>
    <t xml:space="preserve">Long-run nominal growth: ~2% inflation in core markets, modest real growth offset by share loss; below rf 2.87%</t>
  </si>
  <si>
    <t xml:space="preserve">Return on new invested capital in terminal period</t>
  </si>
  <si>
    <t xml:space="preserve">Value-driver TV: reinvestment = g / RONIC. Makita ROIC FY2018-26: median 12.2%, range 1.8-18.4% (ratios.csv)</t>
  </si>
  <si>
    <t xml:space="preserve">Exit EV/EBITDA multiple (FY2031)</t>
  </si>
  <si>
    <t xml:space="preserve">Set within ~0.5x of each scenario's Gordon-implied multiple so the two TV methods agree (exit-implied g &lt;= rf). Current LTM 7.8x; Makita FY2019-26 median 9.8x would assume a re-rating; peer median ~13x is TTI/Toro-heavy</t>
  </si>
  <si>
    <t xml:space="preserve">Market and cost-of-capital inputs (facts, sourced)</t>
  </si>
  <si>
    <t xml:space="preserve">Valuation date</t>
  </si>
  <si>
    <t xml:space="preserve">Tokyo close 29 Oct 2026</t>
  </si>
  <si>
    <t xml:space="preserve">Balance-sheet date for equity bridge</t>
  </si>
  <si>
    <t xml:space="preserve">Latest filed balance sheet (1Q FY2027)</t>
  </si>
  <si>
    <t xml:space="preserve">Share price (JPY)</t>
  </si>
  <si>
    <t xml:space="preserve">yfinance 6586.T close, 29 Oct 2026</t>
  </si>
  <si>
    <t xml:space="preserve">Shares outstanding (m)</t>
  </si>
  <si>
    <t xml:space="preserve">1Q FY2027 release: 280,017,520 issued less 22,362,009 treasury</t>
  </si>
  <si>
    <t xml:space="preserve">Risk-free rate: 10Y JGB</t>
  </si>
  <si>
    <t xml:space="preserve">Ministry of Finance Japan, 2026-10-28</t>
  </si>
  <si>
    <t xml:space="preserve">Mature-market equity risk premium</t>
  </si>
  <si>
    <t xml:space="preserve">Damodaran ctryprem.xlsx (implied S&amp;P 500 ERP, start 2026)</t>
  </si>
  <si>
    <t xml:space="preserve">Country risk premium, revenue-weighted</t>
  </si>
  <si>
    <t xml:space="preserve">Damodaran regional CRPs weighted by Makita FY2026 revenue by customer region (crp_weighted.csv)</t>
  </si>
  <si>
    <t xml:space="preserve">Unlevered beta: Damodaran Japan Machinery</t>
  </si>
  <si>
    <t xml:space="preserve">betaJapan.xls, 221 firms. Cross-check: 5y weekly regression vs TOPIX ETF = 1.08 (s.e. 0.10)</t>
  </si>
  <si>
    <t xml:space="preserve">Debt incl. leases at 30 Jun 2026 (JPY m)</t>
  </si>
  <si>
    <t xml:space="preserve">Borrowings 1,604 + other financial liabilities (mainly leases) 20,378</t>
  </si>
  <si>
    <t xml:space="preserve">Market capitalisation (JPY m)</t>
  </si>
  <si>
    <t xml:space="preserve">Price x shares</t>
  </si>
  <si>
    <t xml:space="preserve">Debt / equity (market)</t>
  </si>
  <si>
    <t xml:space="preserve">Relevered beta</t>
  </si>
  <si>
    <t xml:space="preserve">Hamada: bu x (1 + (1 - t) D/E)</t>
  </si>
  <si>
    <t xml:space="preserve">Size premium</t>
  </si>
  <si>
    <t xml:space="preserve">None: market cap about JPY 1.35tn (large cap)</t>
  </si>
  <si>
    <t xml:space="preserve">CAPM: rf + beta x (ERP + CRP)</t>
  </si>
  <si>
    <t xml:space="preserve">Pre-tax credit spread</t>
  </si>
  <si>
    <t xml:space="preserve">Net cash, interest cover about 90x: high-grade spread assumed</t>
  </si>
  <si>
    <t xml:space="preserve">After-tax cost of debt</t>
  </si>
  <si>
    <t xml:space="preserve">Weight of debt</t>
  </si>
  <si>
    <t xml:space="preserve">Market-value weights</t>
  </si>
  <si>
    <t xml:space="preserve">Weight of equity</t>
  </si>
  <si>
    <t xml:space="preserve">Cash at 30 Jun 2026</t>
  </si>
  <si>
    <t xml:space="preserve">1Q FY2027 balance sheet</t>
  </si>
  <si>
    <t xml:space="preserve">Other current financial assets (mainly time deposits)</t>
  </si>
  <si>
    <t xml:space="preserve">Other non-current financial assets (investments)</t>
  </si>
  <si>
    <t xml:space="preserve">1Q FY2027 balance sheet; non-operating, at book</t>
  </si>
  <si>
    <t xml:space="preserve">Borrowings at 30 Jun 2026</t>
  </si>
  <si>
    <t xml:space="preserve">Non-controlling interests (book)</t>
  </si>
  <si>
    <t xml:space="preserve">Lease liabilities (FY2026 note 27)</t>
  </si>
  <si>
    <t xml:space="preserve">Audited FS FY3/2026; held flat in forecast</t>
  </si>
  <si>
    <t xml:space="preserve">FY2027 interim DPS already ex-dividend (JPY)</t>
  </si>
  <si>
    <t xml:space="preserve">Declared; record date 30 Sep 2026, before valuation date</t>
  </si>
  <si>
    <t xml:space="preserve">Drivers: revenue build by customer region</t>
  </si>
  <si>
    <t xml:space="preserve">Revenue_t = Revenue_t-1 x (1 + local-currency growth) x (FX_t / FX_t-1)</t>
  </si>
  <si>
    <t xml:space="preserve">JPY m, FY ending March</t>
  </si>
  <si>
    <t xml:space="preserve">FX (fiscal-year average)</t>
  </si>
  <si>
    <t xml:space="preserve">USD/JPY</t>
  </si>
  <si>
    <t xml:space="preserve">Historical: Makita releases; forecast: Assumptions</t>
  </si>
  <si>
    <t xml:space="preserve">EUR/JPY</t>
  </si>
  <si>
    <t xml:space="preserve">Europe (FX proxy: EUR)</t>
  </si>
  <si>
    <t xml:space="preserve">Revenue: Europe</t>
  </si>
  <si>
    <t xml:space="preserve">Makita revenue by customer location</t>
  </si>
  <si>
    <t xml:space="preserve">  Growth in JPY</t>
  </si>
  <si>
    <t xml:space="preserve">  Implied local-currency growth</t>
  </si>
  <si>
    <t xml:space="preserve">Historical: JPY growth stripped of FX; forecast: assumption</t>
  </si>
  <si>
    <t xml:space="preserve">Japan (JPY)</t>
  </si>
  <si>
    <t xml:space="preserve">Revenue: Japan</t>
  </si>
  <si>
    <t xml:space="preserve">North America (FX proxy: USD)</t>
  </si>
  <si>
    <t xml:space="preserve">Revenue: North America</t>
  </si>
  <si>
    <t xml:space="preserve">Rest of world (FX proxy: USD)</t>
  </si>
  <si>
    <t xml:space="preserve">Revenue: Rest of world</t>
  </si>
  <si>
    <t xml:space="preserve">Total</t>
  </si>
  <si>
    <t xml:space="preserve">Total revenue</t>
  </si>
  <si>
    <t xml:space="preserve">  Growth</t>
  </si>
  <si>
    <t xml:space="preserve">  of which FX translation (approx.)</t>
  </si>
  <si>
    <t xml:space="preserve">Revenue growth from FX alone, holding local-currency volumes</t>
  </si>
  <si>
    <t xml:space="preserve">Income statement</t>
  </si>
  <si>
    <t xml:space="preserve">IFRS. Historical from Makita earnings releases (data/clean/makita_is.csv)</t>
  </si>
  <si>
    <t xml:space="preserve">Revenue</t>
  </si>
  <si>
    <t xml:space="preserve">Forecast: Drivers sheet regional build</t>
  </si>
  <si>
    <t xml:space="preserve">Cost of sales</t>
  </si>
  <si>
    <t xml:space="preserve">Gross profit</t>
  </si>
  <si>
    <t xml:space="preserve">  Gross margin</t>
  </si>
  <si>
    <t xml:space="preserve">SG&amp;A and other, net</t>
  </si>
  <si>
    <t xml:space="preserve">Operating profit</t>
  </si>
  <si>
    <t xml:space="preserve">  Operating margin</t>
  </si>
  <si>
    <t xml:space="preserve">Financial income</t>
  </si>
  <si>
    <t xml:space="preserve">Forecast: yield x opening cash and deposits (no circularity)</t>
  </si>
  <si>
    <t xml:space="preserve">Financial expenses</t>
  </si>
  <si>
    <t xml:space="preserve">Profit before tax</t>
  </si>
  <si>
    <t xml:space="preserve">Income tax</t>
  </si>
  <si>
    <t xml:space="preserve">  Effective tax rate</t>
  </si>
  <si>
    <t xml:space="preserve">Profit</t>
  </si>
  <si>
    <t xml:space="preserve">  attributable to non-controlling interests</t>
  </si>
  <si>
    <t xml:space="preserve">  attributable to owners of the parent</t>
  </si>
  <si>
    <t xml:space="preserve">Per share</t>
  </si>
  <si>
    <t xml:space="preserve">Average shares (m)</t>
  </si>
  <si>
    <t xml:space="preserve">Forecast: 30 Jun 2026 count less buybacks at today's price (mid-year)</t>
  </si>
  <si>
    <t xml:space="preserve">EPS (JPY)</t>
  </si>
  <si>
    <t xml:space="preserve">DPS (JPY)</t>
  </si>
  <si>
    <t xml:space="preserve">Memo</t>
  </si>
  <si>
    <t xml:space="preserve">D&amp;A total (incl. right-of-use)</t>
  </si>
  <si>
    <t xml:space="preserve">EBITDA (IFRS 16)</t>
  </si>
  <si>
    <t xml:space="preserve">  EBITDA margin</t>
  </si>
  <si>
    <t xml:space="preserve">Balance sheet</t>
  </si>
  <si>
    <t xml:space="preserve">Condensed from the IFRS statement of financial position (data/clean/makita_bs.csv)</t>
  </si>
  <si>
    <t xml:space="preserve">Assets</t>
  </si>
  <si>
    <t xml:space="preserve">Cash and cash equivalents</t>
  </si>
  <si>
    <t xml:space="preserve">Forecast: from cash-flow statement</t>
  </si>
  <si>
    <t xml:space="preserve">Held flat</t>
  </si>
  <si>
    <t xml:space="preserve">Trade and other receivables</t>
  </si>
  <si>
    <t xml:space="preserve">Inventories</t>
  </si>
  <si>
    <t xml:space="preserve">Other current assets</t>
  </si>
  <si>
    <t xml:space="preserve">Total current assets</t>
  </si>
  <si>
    <t xml:space="preserve">Property, plant and equipment (incl. right-of-use)</t>
  </si>
  <si>
    <t xml:space="preserve">Opening + capex - depreciation ex-ROU (ROU asset held flat: new leases = ROU depreciation)</t>
  </si>
  <si>
    <t xml:space="preserve">Goodwill and intangible assets</t>
  </si>
  <si>
    <t xml:space="preserve">Other non-current assets (investments, pension, deferred tax)</t>
  </si>
  <si>
    <t xml:space="preserve">Total non-current assets</t>
  </si>
  <si>
    <t xml:space="preserve">Total assets</t>
  </si>
  <si>
    <t xml:space="preserve">Liabilities</t>
  </si>
  <si>
    <t xml:space="preserve">Trade and other payables</t>
  </si>
  <si>
    <t xml:space="preserve">Borrowings</t>
  </si>
  <si>
    <t xml:space="preserve">Base borrowings flat + revolver (CF)</t>
  </si>
  <si>
    <t xml:space="preserve">Other financial liabilities (mainly leases)</t>
  </si>
  <si>
    <t xml:space="preserve">Other operating liabilities (tax payable, provisions, other)</t>
  </si>
  <si>
    <t xml:space="preserve">Other non-current liabilities (pension, provisions, deferred tax)</t>
  </si>
  <si>
    <t xml:space="preserve">Total liabilities</t>
  </si>
  <si>
    <t xml:space="preserve">Equity</t>
  </si>
  <si>
    <t xml:space="preserve">Share capital and capital surplus</t>
  </si>
  <si>
    <t xml:space="preserve">Retained earnings</t>
  </si>
  <si>
    <t xml:space="preserve">Treasury shares</t>
  </si>
  <si>
    <t xml:space="preserve">Other components of equity</t>
  </si>
  <si>
    <t xml:space="preserve">Held flat: no forecast of FX translation reserve</t>
  </si>
  <si>
    <t xml:space="preserve">Equity attributable to owners of the parent</t>
  </si>
  <si>
    <t xml:space="preserve">Non-controlling interests</t>
  </si>
  <si>
    <t xml:space="preserve">Total equity</t>
  </si>
  <si>
    <t xml:space="preserve">Total liabilities and equity</t>
  </si>
  <si>
    <t xml:space="preserve">Check: assets - liabilities - equity</t>
  </si>
  <si>
    <t xml:space="preserve">Must be zero</t>
  </si>
  <si>
    <t xml:space="preserve">Operating net working capital</t>
  </si>
  <si>
    <t xml:space="preserve">Net cash (cash + deposits - borrowings - leases)</t>
  </si>
  <si>
    <t xml:space="preserve">ROE (on average parent equity)</t>
  </si>
  <si>
    <t xml:space="preserve">Cash-flow statement</t>
  </si>
  <si>
    <t xml:space="preserve">Indirect method. Historical condensed from data/clean/makita_cf.csv</t>
  </si>
  <si>
    <t xml:space="preserve">Operating</t>
  </si>
  <si>
    <t xml:space="preserve">  Depreciation ex right-of-use</t>
  </si>
  <si>
    <t xml:space="preserve">Opening PP&amp;E x rate</t>
  </si>
  <si>
    <t xml:space="preserve">  Right-of-use depreciation</t>
  </si>
  <si>
    <t xml:space="preserve">D&amp;A total</t>
  </si>
  <si>
    <t xml:space="preserve">(Increase) / decrease in receivables</t>
  </si>
  <si>
    <t xml:space="preserve">(Increase) / decrease in inventories</t>
  </si>
  <si>
    <t xml:space="preserve">Increase / (decrease) in payables</t>
  </si>
  <si>
    <t xml:space="preserve">Other working capital</t>
  </si>
  <si>
    <t xml:space="preserve">Other operating items (historical: tax, interest, other)</t>
  </si>
  <si>
    <t xml:space="preserve">Historical plug to reported CFO; forecast: cash taxes = tax expense</t>
  </si>
  <si>
    <t xml:space="preserve">Cash flow from operations</t>
  </si>
  <si>
    <t xml:space="preserve">Forecast sums profit, D&amp;A total and working capital (dep/ROU rows are components of D&amp;A total)</t>
  </si>
  <si>
    <t xml:space="preserve">Investing</t>
  </si>
  <si>
    <t xml:space="preserve">Capex (purchase of non-current assets)</t>
  </si>
  <si>
    <t xml:space="preserve">Other investing (time deposits, investments)</t>
  </si>
  <si>
    <t xml:space="preserve">Historical plug; forecast deposits held flat</t>
  </si>
  <si>
    <t xml:space="preserve">Cash flow from investing</t>
  </si>
  <si>
    <t xml:space="preserve">Financing</t>
  </si>
  <si>
    <t xml:space="preserve">Dividends paid</t>
  </si>
  <si>
    <t xml:space="preserve">Forecast: payout x current-year profit (timing simplification)</t>
  </si>
  <si>
    <t xml:space="preserve">Share buybacks</t>
  </si>
  <si>
    <t xml:space="preserve">Repayment of lease liabilities</t>
  </si>
  <si>
    <t xml:space="preserve">Change in borrowings (revolver)</t>
  </si>
  <si>
    <t xml:space="preserve">Draws if pre-financing cash &lt; minimum; repays prior draws first</t>
  </si>
  <si>
    <t xml:space="preserve">Other financing</t>
  </si>
  <si>
    <t xml:space="preserve">Cash flow from financing</t>
  </si>
  <si>
    <t xml:space="preserve">Cash</t>
  </si>
  <si>
    <t xml:space="preserve">FX effect on cash</t>
  </si>
  <si>
    <t xml:space="preserve">Not forecast</t>
  </si>
  <si>
    <t xml:space="preserve">Net change in cash</t>
  </si>
  <si>
    <t xml:space="preserve">Cash at beginning of year</t>
  </si>
  <si>
    <t xml:space="preserve">Cash at end of year</t>
  </si>
  <si>
    <t xml:space="preserve">Capex (positive)</t>
  </si>
  <si>
    <t xml:space="preserve">Free cash flow (CFO + capex + lease repayments)</t>
  </si>
  <si>
    <t xml:space="preserve">DCF: unlevered free cash flow</t>
  </si>
  <si>
    <t xml:space="preserve">Cash flows from 1 Jul 2026 (after the 30 Jun 2026 balance sheet), mid-period discounting to the valuation date</t>
  </si>
  <si>
    <t xml:space="preserve">Unlevered free cash flow (lease payments deducted, so leases are excluded from the equity bridge)</t>
  </si>
  <si>
    <t xml:space="preserve">EBIT (operating profit)</t>
  </si>
  <si>
    <t xml:space="preserve">Taxes on EBIT</t>
  </si>
  <si>
    <t xml:space="preserve">NOPAT</t>
  </si>
  <si>
    <t xml:space="preserve">+ Depreciation ex right-of-use</t>
  </si>
  <si>
    <t xml:space="preserve">ROU depreciation is not added back: it stands in for lease cost</t>
  </si>
  <si>
    <t xml:space="preserve">- Capex</t>
  </si>
  <si>
    <t xml:space="preserve">- Increase in net working capital</t>
  </si>
  <si>
    <t xml:space="preserve">Unlevered free cash flow</t>
  </si>
  <si>
    <t xml:space="preserve">  Reinvestment (dep - capex - dNWC) % revenue</t>
  </si>
  <si>
    <t xml:space="preserve">Timing</t>
  </si>
  <si>
    <t xml:space="preserve">Period start</t>
  </si>
  <si>
    <t xml:space="preserve">Period end</t>
  </si>
  <si>
    <t xml:space="preserve">Fraction of fiscal year included</t>
  </si>
  <si>
    <t xml:space="preserve">Years from valuation date to mid-period</t>
  </si>
  <si>
    <t xml:space="preserve">UFCF included</t>
  </si>
  <si>
    <t xml:space="preserve">Discount factor</t>
  </si>
  <si>
    <t xml:space="preserve">Present value</t>
  </si>
  <si>
    <t xml:space="preserve">Years of growth from FY2026 (for sensitivity)</t>
  </si>
  <si>
    <t xml:space="preserve">Valuation summary</t>
  </si>
  <si>
    <t xml:space="preserve">Assumptions sheet</t>
  </si>
  <si>
    <t xml:space="preserve">Terminal growth</t>
  </si>
  <si>
    <t xml:space="preserve">Exit EV/EBITDA</t>
  </si>
  <si>
    <t xml:space="preserve">Years to end of FY2031</t>
  </si>
  <si>
    <t xml:space="preserve">PV of explicit-period UFCF</t>
  </si>
  <si>
    <t xml:space="preserve">+ Cash + deposits + investments - borrowings - NCI - declared interim dividend</t>
  </si>
  <si>
    <t xml:space="preserve">30 Jun 2026 balance sheet; investments at book; the stock is already ex the JPY 79 interim</t>
  </si>
  <si>
    <t xml:space="preserve">Gordon growth method</t>
  </si>
  <si>
    <t xml:space="preserve">RONIC (terminal)</t>
  </si>
  <si>
    <t xml:space="preserve">Terminal-year FCF: NOPAT FY2031 x (1 + g) x (1 - g / RONIC)</t>
  </si>
  <si>
    <t xml:space="preserve">Value-driver formula (McKinsey): avoids assuming FY2031's reinvestment rate forever</t>
  </si>
  <si>
    <t xml:space="preserve">Terminal value at end FY2031</t>
  </si>
  <si>
    <t xml:space="preserve">PV of terminal value</t>
  </si>
  <si>
    <t xml:space="preserve">Enterprise value</t>
  </si>
  <si>
    <t xml:space="preserve">Equity value</t>
  </si>
  <si>
    <t xml:space="preserve">Value per share (JPY)</t>
  </si>
  <si>
    <t xml:space="preserve">Terminal value share of EV</t>
  </si>
  <si>
    <t xml:space="preserve">Implied exit EV/EBITDA (TV + leases) / EBITDA FY2031</t>
  </si>
  <si>
    <t xml:space="preserve">Cross-check against the exit-multiple assumption</t>
  </si>
  <si>
    <t xml:space="preserve">Exit-multiple method</t>
  </si>
  <si>
    <t xml:space="preserve">Terminal value at end FY2031 (EBITDA x multiple - leases)</t>
  </si>
  <si>
    <t xml:space="preserve">Multiple applies to IFRS 16 EBITDA, which gives EV incl. leases; leases deducted for consistency</t>
  </si>
  <si>
    <t xml:space="preserve">Implied perpetual growth (value-driver, solves TV = NOPAT(1+g)(1-g/RONIC)/(WACC-g))</t>
  </si>
  <si>
    <t xml:space="preserve">Cross-check against the Gordon growth assumption</t>
  </si>
  <si>
    <t xml:space="preserve">Target price and rating</t>
  </si>
  <si>
    <t xml:space="preserve">Fair value today: average of the two DCF methods</t>
  </si>
  <si>
    <t xml:space="preserve">Dividends expected in next 12 months (JPY)</t>
  </si>
  <si>
    <t xml:space="preserve">FY2027 year-end (paid Jun 2027) + FY2028 interim (record Sep 2027)</t>
  </si>
  <si>
    <t xml:space="preserve">12-month value: fair value x (1 + Ke) - dividends</t>
  </si>
  <si>
    <t xml:space="preserve">12-month target price (rounded to JPY 50)</t>
  </si>
  <si>
    <t xml:space="preserve">Current price</t>
  </si>
  <si>
    <t xml:space="preserve">Expected total return incl. dividends</t>
  </si>
  <si>
    <t xml:space="preserve">Rule: BUY if upside &gt; +15%; SELL if upside &lt; -10%; otherwise HOLD</t>
  </si>
  <si>
    <t xml:space="preserve">Trading comparables</t>
  </si>
  <si>
    <t xml:space="preserve">Last reported fiscal year; all values converted to JPY m at 29 Oct 2026 FX (peers_financials.csv)</t>
  </si>
  <si>
    <t xml:space="preserve">Ticker</t>
  </si>
  <si>
    <t xml:space="preserve">Company</t>
  </si>
  <si>
    <t xml:space="preserve">FY end</t>
  </si>
  <si>
    <t xml:space="preserve">Mkt cap</t>
  </si>
  <si>
    <t xml:space="preserve">EV</t>
  </si>
  <si>
    <t xml:space="preserve">EBITDA</t>
  </si>
  <si>
    <t xml:space="preserve">Net income</t>
  </si>
  <si>
    <t xml:space="preserve">EV/Sales</t>
  </si>
  <si>
    <t xml:space="preserve">EV/EBITDA</t>
  </si>
  <si>
    <t xml:space="preserve">P/E</t>
  </si>
  <si>
    <t xml:space="preserve">P/B</t>
  </si>
  <si>
    <t xml:space="preserve">EBITDA mgn</t>
  </si>
  <si>
    <t xml:space="preserve">0669.HK</t>
  </si>
  <si>
    <t xml:space="preserve">Techtronic Industries</t>
  </si>
  <si>
    <t xml:space="preserve">2025-12-31</t>
  </si>
  <si>
    <t xml:space="preserve">SWK</t>
  </si>
  <si>
    <t xml:space="preserve">Stanley Black &amp; Decker</t>
  </si>
  <si>
    <t xml:space="preserve">2285.HK</t>
  </si>
  <si>
    <t xml:space="preserve">Chervon</t>
  </si>
  <si>
    <t xml:space="preserve">HUSQ-B.ST</t>
  </si>
  <si>
    <t xml:space="preserve">Husqvarna</t>
  </si>
  <si>
    <t xml:space="preserve">6454.T</t>
  </si>
  <si>
    <t xml:space="preserve">Max Co.</t>
  </si>
  <si>
    <t xml:space="preserve">2026-03-31</t>
  </si>
  <si>
    <t xml:space="preserve">6250.T</t>
  </si>
  <si>
    <t xml:space="preserve">Yamabiko</t>
  </si>
  <si>
    <t xml:space="preserve">TTC</t>
  </si>
  <si>
    <t xml:space="preserve">Toro</t>
  </si>
  <si>
    <t xml:space="preserve">2025-10-31</t>
  </si>
  <si>
    <t xml:space="preserve">Median</t>
  </si>
  <si>
    <t xml:space="preserve">Mean</t>
  </si>
  <si>
    <t xml:space="preserve">25th percentile</t>
  </si>
  <si>
    <t xml:space="preserve">75th percentile</t>
  </si>
  <si>
    <t xml:space="preserve">Makita (live, LTM to 30 Jun 2026)</t>
  </si>
  <si>
    <t xml:space="preserve">Market cap</t>
  </si>
  <si>
    <t xml:space="preserve">EV (incl. leases; cash + deposits deducted)</t>
  </si>
  <si>
    <t xml:space="preserve">Same EV definition as peers (yfinance: total debt incl. leases less cash and short-term investments)</t>
  </si>
  <si>
    <t xml:space="preserve">Revenue LTM</t>
  </si>
  <si>
    <t xml:space="preserve">FY2026 + 1Q FY2027 - 1Q FY2026</t>
  </si>
  <si>
    <t xml:space="preserve">EBITDA LTM (IFRS 16)</t>
  </si>
  <si>
    <t xml:space="preserve">Net income LTM</t>
  </si>
  <si>
    <t xml:space="preserve">Parent equity 30 Jun 2026</t>
  </si>
  <si>
    <t xml:space="preserve">Makita own EV/EBITDA, FY2019-26 median</t>
  </si>
  <si>
    <t xml:space="preserve">makita_hist_multiples.csv</t>
  </si>
  <si>
    <t xml:space="preserve">Makita own EV/EBITDA, FY2019-26 low (ex FY2023 trough)</t>
  </si>
  <si>
    <t xml:space="preserve">Makita own EV/EBITDA, FY2019-26 high (ex FY2023 trough)</t>
  </si>
  <si>
    <t xml:space="preserve">Implied Makita value per share (JPY)</t>
  </si>
  <si>
    <t xml:space="preserve">EV/EBITDA at peer median</t>
  </si>
  <si>
    <t xml:space="preserve">P/E at peer median</t>
  </si>
  <si>
    <t xml:space="preserve">EV/EBITDA at peer 25th percentile</t>
  </si>
  <si>
    <t xml:space="preserve">P/E at peer 25th percentile</t>
  </si>
  <si>
    <t xml:space="preserve">EV/EBITDA at peer 75th percentile</t>
  </si>
  <si>
    <t xml:space="preserve">P/E at peer 75th percentile</t>
  </si>
  <si>
    <t xml:space="preserve">EV/EBITDA at own FY2019-26 low</t>
  </si>
  <si>
    <t xml:space="preserve">EV/EBITDA at own FY2019-26 high</t>
  </si>
  <si>
    <t xml:space="preserve">EV/EBITDA at own FY2019-26 median</t>
  </si>
  <si>
    <t xml:space="preserve">Peer set: TTI, Stanley Black &amp; Decker, Chervon (cordless power tools and OPE); Husqvarna, Toro, Yamabiko (OPE); Max (Japanese tools). Bosch and Hilti are private. SWK and Toro verified vs SEC 10-K.</t>
  </si>
  <si>
    <t xml:space="preserve">Sensitivity tables (live formulas: each cell recomputes the DCF)</t>
  </si>
  <si>
    <t xml:space="preserve">Centre cells equal the DCF sheet; see Checks</t>
  </si>
  <si>
    <t xml:space="preserve">1. Value per share (Gordon): WACC vs terminal growth</t>
  </si>
  <si>
    <t xml:space="preserve">WACC \ g</t>
  </si>
  <si>
    <t xml:space="preserve">2. Value per share (exit multiple): WACC vs exit EV/EBITDA</t>
  </si>
  <si>
    <t xml:space="preserve">WACC \ Multiple</t>
  </si>
  <si>
    <t xml:space="preserve">3. Value per share (Gordon): annual revenue growth uplift vs steady-state operating margin</t>
  </si>
  <si>
    <t xml:space="preserve">Growth +/- \ OP margin</t>
  </si>
  <si>
    <t xml:space="preserve">Table 3 holds the operating margin constant in all forecast years and scales revenue by (1 + uplift)^n; reinvestment stays at the model's % of revenue. It is a linearised view, so its centre differs from the full model.</t>
  </si>
  <si>
    <t xml:space="preserve">Football field (JPY per share)</t>
  </si>
  <si>
    <t xml:space="preserve">Ranges feed the chart in report/charts/07_football_field.png</t>
  </si>
  <si>
    <t xml:space="preserve">Method</t>
  </si>
  <si>
    <t xml:space="preserve">Low</t>
  </si>
  <si>
    <t xml:space="preserve">High</t>
  </si>
  <si>
    <t xml:space="preserve">Basis</t>
  </si>
  <si>
    <t xml:space="preserve">DCF, Gordon growth</t>
  </si>
  <si>
    <t xml:space="preserve">WACC +/-0.5pp, g +/-0.5pp</t>
  </si>
  <si>
    <t xml:space="preserve">DCF, exit multiple</t>
  </si>
  <si>
    <t xml:space="preserve">WACC +/-0.5pp, multiple +/-1x</t>
  </si>
  <si>
    <t xml:space="preserve">Peers EV/EBITDA (LTM)</t>
  </si>
  <si>
    <t xml:space="preserve">Peer 25th-75th percentile</t>
  </si>
  <si>
    <t xml:space="preserve">Peers P/E (LTM)</t>
  </si>
  <si>
    <t xml:space="preserve">Makita own EV/EBITDA history</t>
  </si>
  <si>
    <t xml:space="preserve">FY2019-26 range ex FY2023</t>
  </si>
  <si>
    <t xml:space="preserve">52-week trading range</t>
  </si>
  <si>
    <t xml:space="preserve">Closing prices</t>
  </si>
  <si>
    <t xml:space="preserve">12-month target price</t>
  </si>
  <si>
    <t xml:space="preserve">Every check must read TRUE. Forecast checks exact; historical checks allow JPY 2m source rounding.</t>
  </si>
  <si>
    <t xml:space="preserve">Check</t>
  </si>
  <si>
    <t xml:space="preserve">Balance sheet balances (forecast: imbalance unchanged from FY2026A rounding)</t>
  </si>
  <si>
    <t xml:space="preserve">Historical totals are re-added from reported lines, so JPY 1-2m rounding differences can appear</t>
  </si>
  <si>
    <t xml:space="preserve">CF ending cash = BS cash</t>
  </si>
  <si>
    <t xml:space="preserve">CF beginning cash = prior BS cash</t>
  </si>
  <si>
    <t xml:space="preserve">Revenue build = IS revenue</t>
  </si>
  <si>
    <t xml:space="preserve">Historical: regions sum to reported revenue</t>
  </si>
  <si>
    <t xml:space="preserve">IS profit = CF profit</t>
  </si>
  <si>
    <t xml:space="preserve">Retained earnings roll-forward (forecast)</t>
  </si>
  <si>
    <t xml:space="preserve">DCF EBIT = IS operating profit</t>
  </si>
  <si>
    <t xml:space="preserve">DCF capex = CF capex</t>
  </si>
  <si>
    <t xml:space="preserve">DCF change in NWC = CF working-capital lines</t>
  </si>
  <si>
    <t xml:space="preserve">DCF tax rate = model tax rate</t>
  </si>
  <si>
    <t xml:space="preserve">Lease repayments = ROU depreciation (ROU asset flat)</t>
  </si>
  <si>
    <t xml:space="preserve">WACC weights sum to 100%</t>
  </si>
  <si>
    <t xml:space="preserve">Terminal growth &lt; WACC</t>
  </si>
  <si>
    <t xml:space="preserve">Terminal growth &lt;= risk-free rate</t>
  </si>
  <si>
    <t xml:space="preserve">Exit-multiple implied growth &lt;= risk-free rate (TV methods consistent)</t>
  </si>
  <si>
    <t xml:space="preserve">Sensitivity 1 centre = DCF Gordon value</t>
  </si>
  <si>
    <t xml:space="preserve">Sensitivity 2 centre = DCF exit value</t>
  </si>
  <si>
    <t xml:space="preserve">Scenario switch is 1, 2 or 3</t>
  </si>
  <si>
    <t xml:space="preserve">Stub fraction between 0 and 1</t>
  </si>
  <si>
    <t xml:space="preserve">MASTER CHECK</t>
  </si>
  <si>
    <t xml:space="preserve">83 individual checks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</si>
</sst>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.0%;\(0.0%\);\-"/>
    <numFmt numFmtId="167" formatCode="#,##0.00"/>
    <numFmt numFmtId="168" formatCode="0"/>
    <numFmt numFmtId="169" formatCode="#,##0;\(#,##0\);\-"/>
    <numFmt numFmtId="170" formatCode="0.0\x"/>
    <numFmt numFmtId="171" formatCode="dd\-mmm\-yyyy"/>
    <numFmt numFmtId="172" formatCode="0.000"/>
    <numFmt numFmtId="173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Arial"/>
      <family val="2"/>
      <charset val="1"/>
    </font>
    <font>
      <b val="true"/>
      <sz val="9"/>
      <color theme="1"/>
      <name val="Arial"/>
      <family val="2"/>
      <charset val="1"/>
    </font>
    <font>
      <i val="true"/>
      <sz val="9"/>
      <color rgb="FF5C5C5C"/>
      <name val="Arial"/>
      <family val="2"/>
      <charset val="1"/>
    </font>
    <font>
      <b val="true"/>
      <sz val="9"/>
      <color rgb="FF2E7D32"/>
      <name val="Arial"/>
      <family val="2"/>
      <charset val="1"/>
    </font>
    <font>
      <sz val="9"/>
      <color theme="1"/>
      <name val="Arial"/>
      <family val="2"/>
      <charset val="1"/>
    </font>
    <font>
      <b val="true"/>
      <sz val="9"/>
      <color rgb="FF1F4E9E"/>
      <name val="Arial"/>
      <family val="2"/>
      <charset val="1"/>
    </font>
    <font>
      <b val="true"/>
      <sz val="9"/>
      <color rgb="FFFFFFFF"/>
      <name val="Arial"/>
      <family val="2"/>
      <charset val="1"/>
    </font>
    <font>
      <sz val="9"/>
      <color rgb="FF8C8C8C"/>
      <name val="Arial"/>
      <family val="2"/>
      <charset val="1"/>
    </font>
    <font>
      <sz val="9"/>
      <color rgb="FF1F4E9E"/>
      <name val="Arial"/>
      <family val="2"/>
      <charset val="1"/>
    </font>
    <font>
      <b val="true"/>
      <sz val="9"/>
      <color rgb="FFA8792A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3EBDD"/>
        <bgColor rgb="FFFFF2CC"/>
      </patternFill>
    </fill>
    <fill>
      <patternFill patternType="solid">
        <fgColor rgb="FFFFF2CC"/>
        <bgColor rgb="FFF3EBDD"/>
      </patternFill>
    </fill>
    <fill>
      <patternFill patternType="solid">
        <fgColor rgb="FF1A1A1A"/>
        <bgColor rgb="FF3333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>
        <color rgb="FFA8792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8792A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3EB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5C5C"/>
      <rgbColor rgb="FF8C8C8C"/>
      <rgbColor rgb="FF003366"/>
      <rgbColor rgb="FF2E7D32"/>
      <rgbColor rgb="FF003300"/>
      <rgbColor rgb="FF333300"/>
      <rgbColor rgb="FF993300"/>
      <rgbColor rgb="FF993366"/>
      <rgbColor rgb="FF1F4E9E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71"/>
    <col collapsed="false" customWidth="true" hidden="false" outlineLevel="0" max="2" min="2" style="0" width="44.71"/>
    <col collapsed="false" customWidth="true" hidden="false" outlineLevel="0" max="3" min="3" style="0" width="18.71"/>
    <col collapsed="false" customWidth="true" hidden="false" outlineLevel="0" max="4" min="4" style="0" width="80.71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15" hidden="false" customHeight="false" outlineLevel="0" collapsed="false">
      <c r="B6" s="2" t="s">
        <v>3</v>
      </c>
      <c r="C6" s="4" t="str">
        <f aca="false">Assumptions!E4</f>
        <v>Base</v>
      </c>
    </row>
    <row r="7" customFormat="false" ht="15" hidden="false" customHeight="false" outlineLevel="0" collapsed="false">
      <c r="B7" s="2" t="s">
        <v>4</v>
      </c>
      <c r="C7" s="4" t="str">
        <f aca="false">DCF!$D$62</f>
        <v>HOLD</v>
      </c>
    </row>
    <row r="8" customFormat="false" ht="15" hidden="false" customHeight="false" outlineLevel="0" collapsed="false">
      <c r="B8" s="2" t="s">
        <v>5</v>
      </c>
      <c r="C8" s="5" t="n">
        <f aca="false">DCF!$D$58</f>
        <v>5850</v>
      </c>
    </row>
    <row r="9" customFormat="false" ht="15" hidden="false" customHeight="false" outlineLevel="0" collapsed="false">
      <c r="B9" s="2" t="s">
        <v>6</v>
      </c>
      <c r="C9" s="6" t="n">
        <f aca="false">Assumptions!$D$85</f>
        <v>5253</v>
      </c>
    </row>
    <row r="10" customFormat="false" ht="15" hidden="false" customHeight="false" outlineLevel="0" collapsed="false">
      <c r="B10" s="2" t="s">
        <v>7</v>
      </c>
      <c r="C10" s="7" t="n">
        <f aca="false">DCF!$D$60</f>
        <v>0.113649343232439</v>
      </c>
    </row>
    <row r="11" customFormat="false" ht="15" hidden="false" customHeight="false" outlineLevel="0" collapsed="false">
      <c r="B11" s="2" t="s">
        <v>8</v>
      </c>
      <c r="C11" s="6" t="n">
        <f aca="false">DCF!$D$41</f>
        <v>5487.79158757565</v>
      </c>
    </row>
    <row r="12" customFormat="false" ht="15" hidden="false" customHeight="false" outlineLevel="0" collapsed="false">
      <c r="B12" s="2" t="s">
        <v>9</v>
      </c>
      <c r="C12" s="6" t="n">
        <f aca="false">DCF!$D$50</f>
        <v>5561.06710554546</v>
      </c>
    </row>
    <row r="13" customFormat="false" ht="15" hidden="false" customHeight="false" outlineLevel="0" collapsed="false">
      <c r="B13" s="2" t="s">
        <v>10</v>
      </c>
      <c r="C13" s="7" t="n">
        <f aca="false">Assumptions!$D$101</f>
        <v>0.0883738674377037</v>
      </c>
    </row>
    <row r="14" customFormat="false" ht="15" hidden="false" customHeight="false" outlineLevel="0" collapsed="false">
      <c r="B14" s="2" t="s">
        <v>11</v>
      </c>
      <c r="C14" s="7" t="n">
        <f aca="false">Assumptions!$D$96</f>
        <v>0.089380336044146</v>
      </c>
    </row>
    <row r="15" customFormat="false" ht="15" hidden="false" customHeight="false" outlineLevel="0" collapsed="false">
      <c r="B15" s="2" t="s">
        <v>12</v>
      </c>
      <c r="C15" s="4" t="str">
        <f aca="false">Checks!$C$25</f>
        <v>ALL CHECKS PASS</v>
      </c>
    </row>
    <row r="18" customFormat="false" ht="15" hidden="false" customHeight="false" outlineLevel="0" collapsed="false">
      <c r="B18" s="3" t="s">
        <v>13</v>
      </c>
    </row>
    <row r="19" customFormat="false" ht="15" hidden="false" customHeight="false" outlineLevel="0" collapsed="false">
      <c r="B19" s="3" t="s">
        <v>14</v>
      </c>
    </row>
    <row r="20" customFormat="false" ht="15" hidden="false" customHeight="false" outlineLevel="0" collapsed="false">
      <c r="B20" s="3" t="s">
        <v>15</v>
      </c>
    </row>
    <row r="21" customFormat="false" ht="15" hidden="false" customHeight="false" outlineLevel="0" collapsed="false">
      <c r="B21" s="3" t="s">
        <v>16</v>
      </c>
    </row>
    <row r="22" customFormat="false" ht="15" hidden="false" customHeight="false" outlineLevel="0" collapsed="false">
      <c r="B22" s="3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.71"/>
    <col collapsed="false" customWidth="true" hidden="false" outlineLevel="0" max="12" min="3" style="0" width="11.71"/>
    <col collapsed="false" customWidth="true" hidden="false" outlineLevel="0" max="13" min="13" style="0" width="90.71"/>
  </cols>
  <sheetData>
    <row r="1" customFormat="false" ht="17.35" hidden="false" customHeight="false" outlineLevel="0" collapsed="false">
      <c r="A1" s="1" t="s">
        <v>18</v>
      </c>
    </row>
    <row r="2" customFormat="false" ht="15" hidden="false" customHeight="false" outlineLevel="0" collapsed="false">
      <c r="A2" s="3" t="s">
        <v>19</v>
      </c>
    </row>
    <row r="4" customFormat="false" ht="15" hidden="false" customHeight="false" outlineLevel="0" collapsed="false">
      <c r="A4" s="2" t="s">
        <v>20</v>
      </c>
      <c r="D4" s="8" t="n">
        <v>1</v>
      </c>
      <c r="E4" s="4" t="str">
        <f aca="false">CHOOSE($D$4,"Base","Bull","Bear")</f>
        <v>Base</v>
      </c>
    </row>
    <row r="6" customFormat="false" ht="15" hidden="false" customHeight="false" outlineLevel="0" collapsed="false">
      <c r="A6" s="9" t="s">
        <v>21</v>
      </c>
      <c r="B6" s="9"/>
      <c r="C6" s="10" t="s">
        <v>22</v>
      </c>
      <c r="D6" s="10" t="s">
        <v>23</v>
      </c>
      <c r="E6" s="10" t="s">
        <v>24</v>
      </c>
      <c r="F6" s="10" t="s">
        <v>25</v>
      </c>
      <c r="G6" s="10" t="s">
        <v>26</v>
      </c>
      <c r="H6" s="10" t="s">
        <v>27</v>
      </c>
      <c r="I6" s="10" t="s">
        <v>28</v>
      </c>
      <c r="J6" s="10" t="s">
        <v>29</v>
      </c>
      <c r="K6" s="10" t="s">
        <v>30</v>
      </c>
      <c r="L6" s="10" t="s">
        <v>31</v>
      </c>
      <c r="M6" s="9" t="s">
        <v>32</v>
      </c>
    </row>
    <row r="7" customFormat="false" ht="15" hidden="false" customHeight="false" outlineLevel="0" collapsed="false">
      <c r="A7" s="2" t="s">
        <v>33</v>
      </c>
      <c r="B7" s="11" t="s">
        <v>34</v>
      </c>
      <c r="H7" s="12" t="n">
        <f aca="false">CHOOSE(Scenario,H8,H9,H10)</f>
        <v>0</v>
      </c>
      <c r="I7" s="12" t="n">
        <f aca="false">CHOOSE(Scenario,I8,I9,I10)</f>
        <v>0.025</v>
      </c>
      <c r="J7" s="12" t="n">
        <f aca="false">CHOOSE(Scenario,J8,J9,J10)</f>
        <v>0.03</v>
      </c>
      <c r="K7" s="12" t="n">
        <f aca="false">CHOOSE(Scenario,K8,K9,K10)</f>
        <v>0.03</v>
      </c>
      <c r="L7" s="12" t="n">
        <f aca="false">CHOOSE(Scenario,L8,L9,L10)</f>
        <v>0.03</v>
      </c>
      <c r="M7" s="3" t="s">
        <v>35</v>
      </c>
    </row>
    <row r="8" customFormat="false" ht="15" hidden="false" customHeight="false" outlineLevel="0" collapsed="false">
      <c r="A8" s="13" t="s">
        <v>36</v>
      </c>
      <c r="H8" s="14" t="n">
        <v>0</v>
      </c>
      <c r="I8" s="14" t="n">
        <v>0.025</v>
      </c>
      <c r="J8" s="14" t="n">
        <v>0.03</v>
      </c>
      <c r="K8" s="14" t="n">
        <v>0.03</v>
      </c>
      <c r="L8" s="14" t="n">
        <v>0.03</v>
      </c>
    </row>
    <row r="9" customFormat="false" ht="15" hidden="false" customHeight="false" outlineLevel="0" collapsed="false">
      <c r="A9" s="13" t="s">
        <v>37</v>
      </c>
      <c r="H9" s="14" t="n">
        <v>0.02</v>
      </c>
      <c r="I9" s="14" t="n">
        <v>0.045</v>
      </c>
      <c r="J9" s="14" t="n">
        <v>0.05</v>
      </c>
      <c r="K9" s="14" t="n">
        <v>0.05</v>
      </c>
      <c r="L9" s="14" t="n">
        <v>0.04</v>
      </c>
    </row>
    <row r="10" customFormat="false" ht="15" hidden="false" customHeight="false" outlineLevel="0" collapsed="false">
      <c r="A10" s="13" t="s">
        <v>38</v>
      </c>
      <c r="H10" s="14" t="n">
        <v>-0.03</v>
      </c>
      <c r="I10" s="14" t="n">
        <v>-0.005</v>
      </c>
      <c r="J10" s="14" t="n">
        <v>0.015</v>
      </c>
      <c r="K10" s="14" t="n">
        <v>0.02</v>
      </c>
      <c r="L10" s="14" t="n">
        <v>0.02</v>
      </c>
    </row>
    <row r="11" customFormat="false" ht="15" hidden="false" customHeight="false" outlineLevel="0" collapsed="false">
      <c r="A11" s="2" t="s">
        <v>39</v>
      </c>
      <c r="B11" s="11" t="s">
        <v>34</v>
      </c>
      <c r="H11" s="12" t="n">
        <f aca="false">CHOOSE(Scenario,H12,H13,H14)</f>
        <v>0.025</v>
      </c>
      <c r="I11" s="12" t="n">
        <f aca="false">CHOOSE(Scenario,I12,I13,I14)</f>
        <v>0.02</v>
      </c>
      <c r="J11" s="12" t="n">
        <f aca="false">CHOOSE(Scenario,J12,J13,J14)</f>
        <v>0.02</v>
      </c>
      <c r="K11" s="12" t="n">
        <f aca="false">CHOOSE(Scenario,K12,K13,K14)</f>
        <v>0.02</v>
      </c>
      <c r="L11" s="12" t="n">
        <f aca="false">CHOOSE(Scenario,L12,L13,L14)</f>
        <v>0.015</v>
      </c>
      <c r="M11" s="3" t="s">
        <v>40</v>
      </c>
    </row>
    <row r="12" customFormat="false" ht="15" hidden="false" customHeight="false" outlineLevel="0" collapsed="false">
      <c r="A12" s="13" t="s">
        <v>36</v>
      </c>
      <c r="H12" s="14" t="n">
        <v>0.025</v>
      </c>
      <c r="I12" s="14" t="n">
        <v>0.02</v>
      </c>
      <c r="J12" s="14" t="n">
        <v>0.02</v>
      </c>
      <c r="K12" s="14" t="n">
        <v>0.02</v>
      </c>
      <c r="L12" s="14" t="n">
        <v>0.015</v>
      </c>
    </row>
    <row r="13" customFormat="false" ht="15" hidden="false" customHeight="false" outlineLevel="0" collapsed="false">
      <c r="A13" s="13" t="s">
        <v>37</v>
      </c>
      <c r="H13" s="14" t="n">
        <v>0.04</v>
      </c>
      <c r="I13" s="14" t="n">
        <v>0.035</v>
      </c>
      <c r="J13" s="14" t="n">
        <v>0.03</v>
      </c>
      <c r="K13" s="14" t="n">
        <v>0.03</v>
      </c>
      <c r="L13" s="14" t="n">
        <v>0.025</v>
      </c>
    </row>
    <row r="14" customFormat="false" ht="15" hidden="false" customHeight="false" outlineLevel="0" collapsed="false">
      <c r="A14" s="13" t="s">
        <v>38</v>
      </c>
      <c r="H14" s="14" t="n">
        <v>0</v>
      </c>
      <c r="I14" s="14" t="n">
        <v>0</v>
      </c>
      <c r="J14" s="14" t="n">
        <v>0.01</v>
      </c>
      <c r="K14" s="14" t="n">
        <v>0.01</v>
      </c>
      <c r="L14" s="14" t="n">
        <v>0.01</v>
      </c>
    </row>
    <row r="15" customFormat="false" ht="15" hidden="false" customHeight="false" outlineLevel="0" collapsed="false">
      <c r="A15" s="2" t="s">
        <v>41</v>
      </c>
      <c r="B15" s="11" t="s">
        <v>34</v>
      </c>
      <c r="H15" s="12" t="n">
        <f aca="false">CHOOSE(Scenario,H16,H17,H18)</f>
        <v>0.03</v>
      </c>
      <c r="I15" s="12" t="n">
        <f aca="false">CHOOSE(Scenario,I16,I17,I18)</f>
        <v>0.03</v>
      </c>
      <c r="J15" s="12" t="n">
        <f aca="false">CHOOSE(Scenario,J16,J17,J18)</f>
        <v>0.03</v>
      </c>
      <c r="K15" s="12" t="n">
        <f aca="false">CHOOSE(Scenario,K16,K17,K18)</f>
        <v>0.03</v>
      </c>
      <c r="L15" s="12" t="n">
        <f aca="false">CHOOSE(Scenario,L16,L17,L18)</f>
        <v>0.03</v>
      </c>
      <c r="M15" s="3" t="s">
        <v>42</v>
      </c>
    </row>
    <row r="16" customFormat="false" ht="15" hidden="false" customHeight="false" outlineLevel="0" collapsed="false">
      <c r="A16" s="13" t="s">
        <v>36</v>
      </c>
      <c r="H16" s="14" t="n">
        <v>0.03</v>
      </c>
      <c r="I16" s="14" t="n">
        <v>0.03</v>
      </c>
      <c r="J16" s="14" t="n">
        <v>0.03</v>
      </c>
      <c r="K16" s="14" t="n">
        <v>0.03</v>
      </c>
      <c r="L16" s="14" t="n">
        <v>0.03</v>
      </c>
    </row>
    <row r="17" customFormat="false" ht="15" hidden="false" customHeight="false" outlineLevel="0" collapsed="false">
      <c r="A17" s="13" t="s">
        <v>37</v>
      </c>
      <c r="H17" s="14" t="n">
        <v>0.06</v>
      </c>
      <c r="I17" s="14" t="n">
        <v>0.06</v>
      </c>
      <c r="J17" s="14" t="n">
        <v>0.06</v>
      </c>
      <c r="K17" s="14" t="n">
        <v>0.05</v>
      </c>
      <c r="L17" s="14" t="n">
        <v>0.04</v>
      </c>
    </row>
    <row r="18" customFormat="false" ht="15" hidden="false" customHeight="false" outlineLevel="0" collapsed="false">
      <c r="A18" s="13" t="s">
        <v>38</v>
      </c>
      <c r="H18" s="14" t="n">
        <v>-0.03</v>
      </c>
      <c r="I18" s="14" t="n">
        <v>0</v>
      </c>
      <c r="J18" s="14" t="n">
        <v>0.01</v>
      </c>
      <c r="K18" s="14" t="n">
        <v>0.02</v>
      </c>
      <c r="L18" s="14" t="n">
        <v>0.02</v>
      </c>
    </row>
    <row r="19" customFormat="false" ht="15" hidden="false" customHeight="false" outlineLevel="0" collapsed="false">
      <c r="A19" s="2" t="s">
        <v>43</v>
      </c>
      <c r="B19" s="11" t="s">
        <v>34</v>
      </c>
      <c r="H19" s="12" t="n">
        <f aca="false">CHOOSE(Scenario,H20,H21,H22)</f>
        <v>0.02</v>
      </c>
      <c r="I19" s="12" t="n">
        <f aca="false">CHOOSE(Scenario,I20,I21,I22)</f>
        <v>0.035</v>
      </c>
      <c r="J19" s="12" t="n">
        <f aca="false">CHOOSE(Scenario,J20,J21,J22)</f>
        <v>0.04</v>
      </c>
      <c r="K19" s="12" t="n">
        <f aca="false">CHOOSE(Scenario,K20,K21,K22)</f>
        <v>0.04</v>
      </c>
      <c r="L19" s="12" t="n">
        <f aca="false">CHOOSE(Scenario,L20,L21,L22)</f>
        <v>0.035</v>
      </c>
      <c r="M19" s="3" t="s">
        <v>44</v>
      </c>
    </row>
    <row r="20" customFormat="false" ht="15" hidden="false" customHeight="false" outlineLevel="0" collapsed="false">
      <c r="A20" s="13" t="s">
        <v>36</v>
      </c>
      <c r="H20" s="14" t="n">
        <v>0.02</v>
      </c>
      <c r="I20" s="14" t="n">
        <v>0.035</v>
      </c>
      <c r="J20" s="14" t="n">
        <v>0.04</v>
      </c>
      <c r="K20" s="14" t="n">
        <v>0.04</v>
      </c>
      <c r="L20" s="14" t="n">
        <v>0.035</v>
      </c>
    </row>
    <row r="21" customFormat="false" ht="15" hidden="false" customHeight="false" outlineLevel="0" collapsed="false">
      <c r="A21" s="13" t="s">
        <v>37</v>
      </c>
      <c r="H21" s="14" t="n">
        <v>0.04</v>
      </c>
      <c r="I21" s="14" t="n">
        <v>0.05</v>
      </c>
      <c r="J21" s="14" t="n">
        <v>0.055</v>
      </c>
      <c r="K21" s="14" t="n">
        <v>0.055</v>
      </c>
      <c r="L21" s="14" t="n">
        <v>0.05</v>
      </c>
    </row>
    <row r="22" customFormat="false" ht="15" hidden="false" customHeight="false" outlineLevel="0" collapsed="false">
      <c r="A22" s="13" t="s">
        <v>38</v>
      </c>
      <c r="H22" s="14" t="n">
        <v>-0.02</v>
      </c>
      <c r="I22" s="14" t="n">
        <v>0.01</v>
      </c>
      <c r="J22" s="14" t="n">
        <v>0.02</v>
      </c>
      <c r="K22" s="14" t="n">
        <v>0.025</v>
      </c>
      <c r="L22" s="14" t="n">
        <v>0.025</v>
      </c>
    </row>
    <row r="23" customFormat="false" ht="15" hidden="false" customHeight="false" outlineLevel="0" collapsed="false">
      <c r="A23" s="2" t="s">
        <v>45</v>
      </c>
      <c r="B23" s="11" t="s">
        <v>46</v>
      </c>
      <c r="H23" s="15" t="n">
        <f aca="false">CHOOSE(Scenario,H24,H25,H26)</f>
        <v>158.26</v>
      </c>
      <c r="I23" s="15" t="n">
        <f aca="false">CHOOSE(Scenario,I24,I25,I26)</f>
        <v>157.82</v>
      </c>
      <c r="J23" s="15" t="n">
        <f aca="false">CHOOSE(Scenario,J24,J25,J26)</f>
        <v>157.82</v>
      </c>
      <c r="K23" s="15" t="n">
        <f aca="false">CHOOSE(Scenario,K24,K25,K26)</f>
        <v>157.82</v>
      </c>
      <c r="L23" s="15" t="n">
        <f aca="false">CHOOSE(Scenario,L24,L25,L26)</f>
        <v>157.82</v>
      </c>
      <c r="M23" s="3" t="s">
        <v>47</v>
      </c>
    </row>
    <row r="24" customFormat="false" ht="15" hidden="false" customHeight="false" outlineLevel="0" collapsed="false">
      <c r="A24" s="13" t="s">
        <v>36</v>
      </c>
      <c r="H24" s="16" t="n">
        <v>158.26</v>
      </c>
      <c r="I24" s="16" t="n">
        <v>157.82</v>
      </c>
      <c r="J24" s="16" t="n">
        <v>157.82</v>
      </c>
      <c r="K24" s="16" t="n">
        <v>157.82</v>
      </c>
      <c r="L24" s="16" t="n">
        <v>157.82</v>
      </c>
    </row>
    <row r="25" customFormat="false" ht="15" hidden="false" customHeight="false" outlineLevel="0" collapsed="false">
      <c r="A25" s="13" t="s">
        <v>37</v>
      </c>
      <c r="H25" s="16" t="n">
        <v>158.26</v>
      </c>
      <c r="I25" s="16" t="n">
        <v>165.71</v>
      </c>
      <c r="J25" s="16" t="n">
        <v>165.71</v>
      </c>
      <c r="K25" s="16" t="n">
        <v>165.71</v>
      </c>
      <c r="L25" s="16" t="n">
        <v>165.71</v>
      </c>
    </row>
    <row r="26" customFormat="false" ht="15" hidden="false" customHeight="false" outlineLevel="0" collapsed="false">
      <c r="A26" s="13" t="s">
        <v>38</v>
      </c>
      <c r="H26" s="16" t="n">
        <v>154.31</v>
      </c>
      <c r="I26" s="16" t="n">
        <v>142.04</v>
      </c>
      <c r="J26" s="16" t="n">
        <v>142.04</v>
      </c>
      <c r="K26" s="16" t="n">
        <v>142.04</v>
      </c>
      <c r="L26" s="16" t="n">
        <v>142.04</v>
      </c>
    </row>
    <row r="27" customFormat="false" ht="15" hidden="false" customHeight="false" outlineLevel="0" collapsed="false">
      <c r="A27" s="2" t="s">
        <v>48</v>
      </c>
      <c r="B27" s="11" t="s">
        <v>46</v>
      </c>
      <c r="H27" s="15" t="n">
        <f aca="false">CHOOSE(Scenario,H28,H29,H30)</f>
        <v>178.38</v>
      </c>
      <c r="I27" s="15" t="n">
        <f aca="false">CHOOSE(Scenario,I28,I29,I30)</f>
        <v>176.03</v>
      </c>
      <c r="J27" s="15" t="n">
        <f aca="false">CHOOSE(Scenario,J28,J29,J30)</f>
        <v>176.03</v>
      </c>
      <c r="K27" s="15" t="n">
        <f aca="false">CHOOSE(Scenario,K28,K29,K30)</f>
        <v>176.03</v>
      </c>
      <c r="L27" s="15" t="n">
        <f aca="false">CHOOSE(Scenario,L28,L29,L30)</f>
        <v>176.03</v>
      </c>
      <c r="M27" s="3" t="s">
        <v>49</v>
      </c>
    </row>
    <row r="28" customFormat="false" ht="15" hidden="false" customHeight="false" outlineLevel="0" collapsed="false">
      <c r="A28" s="13" t="s">
        <v>36</v>
      </c>
      <c r="H28" s="16" t="n">
        <v>178.38</v>
      </c>
      <c r="I28" s="16" t="n">
        <v>176.03</v>
      </c>
      <c r="J28" s="16" t="n">
        <v>176.03</v>
      </c>
      <c r="K28" s="16" t="n">
        <v>176.03</v>
      </c>
      <c r="L28" s="16" t="n">
        <v>176.03</v>
      </c>
    </row>
    <row r="29" customFormat="false" ht="15" hidden="false" customHeight="false" outlineLevel="0" collapsed="false">
      <c r="A29" s="13" t="s">
        <v>37</v>
      </c>
      <c r="H29" s="16" t="n">
        <v>178.38</v>
      </c>
      <c r="I29" s="16" t="n">
        <v>184.83</v>
      </c>
      <c r="J29" s="16" t="n">
        <v>184.83</v>
      </c>
      <c r="K29" s="16" t="n">
        <v>184.83</v>
      </c>
      <c r="L29" s="16" t="n">
        <v>184.83</v>
      </c>
    </row>
    <row r="30" customFormat="false" ht="15" hidden="false" customHeight="false" outlineLevel="0" collapsed="false">
      <c r="A30" s="13" t="s">
        <v>38</v>
      </c>
      <c r="H30" s="16" t="n">
        <v>174.08</v>
      </c>
      <c r="I30" s="16" t="n">
        <v>158.43</v>
      </c>
      <c r="J30" s="16" t="n">
        <v>158.43</v>
      </c>
      <c r="K30" s="16" t="n">
        <v>158.43</v>
      </c>
      <c r="L30" s="16" t="n">
        <v>158.43</v>
      </c>
    </row>
    <row r="31" customFormat="false" ht="15" hidden="false" customHeight="false" outlineLevel="0" collapsed="false">
      <c r="A31" s="2" t="s">
        <v>50</v>
      </c>
      <c r="B31" s="11" t="s">
        <v>34</v>
      </c>
      <c r="H31" s="12" t="n">
        <f aca="false">CHOOSE(Scenario,H32,H33,H34)</f>
        <v>0.37</v>
      </c>
      <c r="I31" s="12" t="n">
        <f aca="false">CHOOSE(Scenario,I32,I33,I34)</f>
        <v>0.365</v>
      </c>
      <c r="J31" s="12" t="n">
        <f aca="false">CHOOSE(Scenario,J32,J33,J34)</f>
        <v>0.365</v>
      </c>
      <c r="K31" s="12" t="n">
        <f aca="false">CHOOSE(Scenario,K32,K33,K34)</f>
        <v>0.365</v>
      </c>
      <c r="L31" s="12" t="n">
        <f aca="false">CHOOSE(Scenario,L32,L33,L34)</f>
        <v>0.365</v>
      </c>
      <c r="M31" s="3" t="s">
        <v>51</v>
      </c>
    </row>
    <row r="32" customFormat="false" ht="15" hidden="false" customHeight="false" outlineLevel="0" collapsed="false">
      <c r="A32" s="13" t="s">
        <v>36</v>
      </c>
      <c r="H32" s="14" t="n">
        <v>0.37</v>
      </c>
      <c r="I32" s="14" t="n">
        <v>0.365</v>
      </c>
      <c r="J32" s="14" t="n">
        <v>0.365</v>
      </c>
      <c r="K32" s="14" t="n">
        <v>0.365</v>
      </c>
      <c r="L32" s="14" t="n">
        <v>0.365</v>
      </c>
    </row>
    <row r="33" customFormat="false" ht="15" hidden="false" customHeight="false" outlineLevel="0" collapsed="false">
      <c r="A33" s="13" t="s">
        <v>37</v>
      </c>
      <c r="H33" s="14" t="n">
        <v>0.375</v>
      </c>
      <c r="I33" s="14" t="n">
        <v>0.375</v>
      </c>
      <c r="J33" s="14" t="n">
        <v>0.38</v>
      </c>
      <c r="K33" s="14" t="n">
        <v>0.38</v>
      </c>
      <c r="L33" s="14" t="n">
        <v>0.38</v>
      </c>
    </row>
    <row r="34" customFormat="false" ht="15" hidden="false" customHeight="false" outlineLevel="0" collapsed="false">
      <c r="A34" s="13" t="s">
        <v>38</v>
      </c>
      <c r="H34" s="14" t="n">
        <v>0.355</v>
      </c>
      <c r="I34" s="14" t="n">
        <v>0.34</v>
      </c>
      <c r="J34" s="14" t="n">
        <v>0.35</v>
      </c>
      <c r="K34" s="14" t="n">
        <v>0.35</v>
      </c>
      <c r="L34" s="14" t="n">
        <v>0.35</v>
      </c>
    </row>
    <row r="35" customFormat="false" ht="15" hidden="false" customHeight="false" outlineLevel="0" collapsed="false">
      <c r="A35" s="2" t="s">
        <v>52</v>
      </c>
      <c r="B35" s="11" t="s">
        <v>34</v>
      </c>
      <c r="H35" s="12" t="n">
        <f aca="false">CHOOSE(Scenario,H36,H37,H38)</f>
        <v>0.233</v>
      </c>
      <c r="I35" s="12" t="n">
        <f aca="false">CHOOSE(Scenario,I36,I37,I38)</f>
        <v>0.23</v>
      </c>
      <c r="J35" s="12" t="n">
        <f aca="false">CHOOSE(Scenario,J36,J37,J38)</f>
        <v>0.228</v>
      </c>
      <c r="K35" s="12" t="n">
        <f aca="false">CHOOSE(Scenario,K36,K37,K38)</f>
        <v>0.226</v>
      </c>
      <c r="L35" s="12" t="n">
        <f aca="false">CHOOSE(Scenario,L36,L37,L38)</f>
        <v>0.225</v>
      </c>
      <c r="M35" s="3" t="s">
        <v>53</v>
      </c>
    </row>
    <row r="36" customFormat="false" ht="15" hidden="false" customHeight="false" outlineLevel="0" collapsed="false">
      <c r="A36" s="13" t="s">
        <v>36</v>
      </c>
      <c r="H36" s="14" t="n">
        <v>0.233</v>
      </c>
      <c r="I36" s="14" t="n">
        <v>0.23</v>
      </c>
      <c r="J36" s="14" t="n">
        <v>0.228</v>
      </c>
      <c r="K36" s="14" t="n">
        <v>0.226</v>
      </c>
      <c r="L36" s="14" t="n">
        <v>0.225</v>
      </c>
    </row>
    <row r="37" customFormat="false" ht="15" hidden="false" customHeight="false" outlineLevel="0" collapsed="false">
      <c r="A37" s="13" t="s">
        <v>37</v>
      </c>
      <c r="H37" s="14" t="n">
        <v>0.23</v>
      </c>
      <c r="I37" s="14" t="n">
        <v>0.225</v>
      </c>
      <c r="J37" s="14" t="n">
        <v>0.22</v>
      </c>
      <c r="K37" s="14" t="n">
        <v>0.218</v>
      </c>
      <c r="L37" s="14" t="n">
        <v>0.215</v>
      </c>
    </row>
    <row r="38" customFormat="false" ht="15" hidden="false" customHeight="false" outlineLevel="0" collapsed="false">
      <c r="A38" s="13" t="s">
        <v>38</v>
      </c>
      <c r="H38" s="14" t="n">
        <v>0.238</v>
      </c>
      <c r="I38" s="14" t="n">
        <v>0.238</v>
      </c>
      <c r="J38" s="14" t="n">
        <v>0.235</v>
      </c>
      <c r="K38" s="14" t="n">
        <v>0.235</v>
      </c>
      <c r="L38" s="14" t="n">
        <v>0.235</v>
      </c>
    </row>
    <row r="39" customFormat="false" ht="15" hidden="false" customHeight="false" outlineLevel="0" collapsed="false">
      <c r="A39" s="2" t="s">
        <v>54</v>
      </c>
      <c r="B39" s="11" t="s">
        <v>55</v>
      </c>
      <c r="H39" s="17" t="n">
        <f aca="false">CHOOSE(Scenario,H40,H41,H42)</f>
        <v>57</v>
      </c>
      <c r="I39" s="17" t="n">
        <f aca="false">CHOOSE(Scenario,I40,I41,I42)</f>
        <v>57</v>
      </c>
      <c r="J39" s="17" t="n">
        <f aca="false">CHOOSE(Scenario,J40,J41,J42)</f>
        <v>57</v>
      </c>
      <c r="K39" s="17" t="n">
        <f aca="false">CHOOSE(Scenario,K40,K41,K42)</f>
        <v>57</v>
      </c>
      <c r="L39" s="17" t="n">
        <f aca="false">CHOOSE(Scenario,L40,L41,L42)</f>
        <v>57</v>
      </c>
      <c r="M39" s="3" t="s">
        <v>56</v>
      </c>
    </row>
    <row r="40" customFormat="false" ht="15" hidden="false" customHeight="false" outlineLevel="0" collapsed="false">
      <c r="A40" s="13" t="s">
        <v>36</v>
      </c>
      <c r="H40" s="18" t="n">
        <v>57</v>
      </c>
      <c r="I40" s="18" t="n">
        <v>57</v>
      </c>
      <c r="J40" s="18" t="n">
        <v>57</v>
      </c>
      <c r="K40" s="18" t="n">
        <v>57</v>
      </c>
      <c r="L40" s="18" t="n">
        <v>57</v>
      </c>
    </row>
    <row r="41" customFormat="false" ht="15" hidden="false" customHeight="false" outlineLevel="0" collapsed="false">
      <c r="A41" s="13" t="s">
        <v>37</v>
      </c>
      <c r="H41" s="18" t="n">
        <v>55</v>
      </c>
      <c r="I41" s="18" t="n">
        <v>55</v>
      </c>
      <c r="J41" s="18" t="n">
        <v>55</v>
      </c>
      <c r="K41" s="18" t="n">
        <v>55</v>
      </c>
      <c r="L41" s="18" t="n">
        <v>55</v>
      </c>
    </row>
    <row r="42" customFormat="false" ht="15" hidden="false" customHeight="false" outlineLevel="0" collapsed="false">
      <c r="A42" s="13" t="s">
        <v>38</v>
      </c>
      <c r="H42" s="18" t="n">
        <v>60</v>
      </c>
      <c r="I42" s="18" t="n">
        <v>60</v>
      </c>
      <c r="J42" s="18" t="n">
        <v>60</v>
      </c>
      <c r="K42" s="18" t="n">
        <v>60</v>
      </c>
      <c r="L42" s="18" t="n">
        <v>60</v>
      </c>
    </row>
    <row r="43" customFormat="false" ht="15" hidden="false" customHeight="false" outlineLevel="0" collapsed="false">
      <c r="A43" s="2" t="s">
        <v>57</v>
      </c>
      <c r="B43" s="11" t="s">
        <v>55</v>
      </c>
      <c r="H43" s="17" t="n">
        <f aca="false">CHOOSE(Scenario,H44,H45,H46)</f>
        <v>275</v>
      </c>
      <c r="I43" s="17" t="n">
        <f aca="false">CHOOSE(Scenario,I44,I45,I46)</f>
        <v>268</v>
      </c>
      <c r="J43" s="17" t="n">
        <f aca="false">CHOOSE(Scenario,J44,J45,J46)</f>
        <v>262</v>
      </c>
      <c r="K43" s="17" t="n">
        <f aca="false">CHOOSE(Scenario,K44,K45,K46)</f>
        <v>258</v>
      </c>
      <c r="L43" s="17" t="n">
        <f aca="false">CHOOSE(Scenario,L44,L45,L46)</f>
        <v>255</v>
      </c>
      <c r="M43" s="3" t="s">
        <v>58</v>
      </c>
    </row>
    <row r="44" customFormat="false" ht="15" hidden="false" customHeight="false" outlineLevel="0" collapsed="false">
      <c r="A44" s="13" t="s">
        <v>36</v>
      </c>
      <c r="H44" s="18" t="n">
        <v>275</v>
      </c>
      <c r="I44" s="18" t="n">
        <v>268</v>
      </c>
      <c r="J44" s="18" t="n">
        <v>262</v>
      </c>
      <c r="K44" s="18" t="n">
        <v>258</v>
      </c>
      <c r="L44" s="18" t="n">
        <v>255</v>
      </c>
    </row>
    <row r="45" customFormat="false" ht="15" hidden="false" customHeight="false" outlineLevel="0" collapsed="false">
      <c r="A45" s="13" t="s">
        <v>37</v>
      </c>
      <c r="H45" s="18" t="n">
        <v>270</v>
      </c>
      <c r="I45" s="18" t="n">
        <v>258</v>
      </c>
      <c r="J45" s="18" t="n">
        <v>250</v>
      </c>
      <c r="K45" s="18" t="n">
        <v>248</v>
      </c>
      <c r="L45" s="18" t="n">
        <v>245</v>
      </c>
    </row>
    <row r="46" customFormat="false" ht="15" hidden="false" customHeight="false" outlineLevel="0" collapsed="false">
      <c r="A46" s="13" t="s">
        <v>38</v>
      </c>
      <c r="H46" s="18" t="n">
        <v>290</v>
      </c>
      <c r="I46" s="18" t="n">
        <v>290</v>
      </c>
      <c r="J46" s="18" t="n">
        <v>285</v>
      </c>
      <c r="K46" s="18" t="n">
        <v>285</v>
      </c>
      <c r="L46" s="18" t="n">
        <v>285</v>
      </c>
    </row>
    <row r="47" customFormat="false" ht="15" hidden="false" customHeight="false" outlineLevel="0" collapsed="false">
      <c r="A47" s="2" t="s">
        <v>59</v>
      </c>
      <c r="B47" s="11" t="s">
        <v>55</v>
      </c>
      <c r="H47" s="17" t="n">
        <f aca="false">CHOOSE(Scenario,H48,H49,H50)</f>
        <v>41</v>
      </c>
      <c r="I47" s="17" t="n">
        <f aca="false">CHOOSE(Scenario,I48,I49,I50)</f>
        <v>41</v>
      </c>
      <c r="J47" s="17" t="n">
        <f aca="false">CHOOSE(Scenario,J48,J49,J50)</f>
        <v>41</v>
      </c>
      <c r="K47" s="17" t="n">
        <f aca="false">CHOOSE(Scenario,K48,K49,K50)</f>
        <v>41</v>
      </c>
      <c r="L47" s="17" t="n">
        <f aca="false">CHOOSE(Scenario,L48,L49,L50)</f>
        <v>41</v>
      </c>
      <c r="M47" s="3" t="s">
        <v>60</v>
      </c>
    </row>
    <row r="48" customFormat="false" ht="15" hidden="false" customHeight="false" outlineLevel="0" collapsed="false">
      <c r="A48" s="13" t="s">
        <v>36</v>
      </c>
      <c r="H48" s="18" t="n">
        <v>41</v>
      </c>
      <c r="I48" s="18" t="n">
        <v>41</v>
      </c>
      <c r="J48" s="18" t="n">
        <v>41</v>
      </c>
      <c r="K48" s="18" t="n">
        <v>41</v>
      </c>
      <c r="L48" s="18" t="n">
        <v>41</v>
      </c>
    </row>
    <row r="49" customFormat="false" ht="15" hidden="false" customHeight="false" outlineLevel="0" collapsed="false">
      <c r="A49" s="13" t="s">
        <v>37</v>
      </c>
      <c r="H49" s="18" t="n">
        <v>42</v>
      </c>
      <c r="I49" s="18" t="n">
        <v>42</v>
      </c>
      <c r="J49" s="18" t="n">
        <v>42</v>
      </c>
      <c r="K49" s="18" t="n">
        <v>42</v>
      </c>
      <c r="L49" s="18" t="n">
        <v>42</v>
      </c>
    </row>
    <row r="50" customFormat="false" ht="15" hidden="false" customHeight="false" outlineLevel="0" collapsed="false">
      <c r="A50" s="13" t="s">
        <v>38</v>
      </c>
      <c r="H50" s="18" t="n">
        <v>39</v>
      </c>
      <c r="I50" s="18" t="n">
        <v>39</v>
      </c>
      <c r="J50" s="18" t="n">
        <v>39</v>
      </c>
      <c r="K50" s="18" t="n">
        <v>39</v>
      </c>
      <c r="L50" s="18" t="n">
        <v>39</v>
      </c>
    </row>
    <row r="51" customFormat="false" ht="15" hidden="false" customHeight="false" outlineLevel="0" collapsed="false">
      <c r="A51" s="2" t="s">
        <v>61</v>
      </c>
      <c r="B51" s="11" t="s">
        <v>34</v>
      </c>
      <c r="H51" s="12" t="n">
        <f aca="false">CHOOSE(Scenario,H52,H53,H54)</f>
        <v>0.025</v>
      </c>
      <c r="I51" s="12" t="n">
        <f aca="false">CHOOSE(Scenario,I52,I53,I54)</f>
        <v>0.025</v>
      </c>
      <c r="J51" s="12" t="n">
        <f aca="false">CHOOSE(Scenario,J52,J53,J54)</f>
        <v>0.025</v>
      </c>
      <c r="K51" s="12" t="n">
        <f aca="false">CHOOSE(Scenario,K52,K53,K54)</f>
        <v>0.025</v>
      </c>
      <c r="L51" s="12" t="n">
        <f aca="false">CHOOSE(Scenario,L52,L53,L54)</f>
        <v>0.025</v>
      </c>
      <c r="M51" s="3" t="s">
        <v>62</v>
      </c>
    </row>
    <row r="52" customFormat="false" ht="15" hidden="false" customHeight="false" outlineLevel="0" collapsed="false">
      <c r="A52" s="13" t="s">
        <v>36</v>
      </c>
      <c r="H52" s="14" t="n">
        <v>0.025</v>
      </c>
      <c r="I52" s="14" t="n">
        <v>0.025</v>
      </c>
      <c r="J52" s="14" t="n">
        <v>0.025</v>
      </c>
      <c r="K52" s="14" t="n">
        <v>0.025</v>
      </c>
      <c r="L52" s="14" t="n">
        <v>0.025</v>
      </c>
    </row>
    <row r="53" customFormat="false" ht="15" hidden="false" customHeight="false" outlineLevel="0" collapsed="false">
      <c r="A53" s="13" t="s">
        <v>37</v>
      </c>
      <c r="H53" s="14" t="n">
        <v>0.025</v>
      </c>
      <c r="I53" s="14" t="n">
        <v>0.025</v>
      </c>
      <c r="J53" s="14" t="n">
        <v>0.025</v>
      </c>
      <c r="K53" s="14" t="n">
        <v>0.025</v>
      </c>
      <c r="L53" s="14" t="n">
        <v>0.025</v>
      </c>
    </row>
    <row r="54" customFormat="false" ht="15" hidden="false" customHeight="false" outlineLevel="0" collapsed="false">
      <c r="A54" s="13" t="s">
        <v>38</v>
      </c>
      <c r="H54" s="14" t="n">
        <v>0.025</v>
      </c>
      <c r="I54" s="14" t="n">
        <v>0.025</v>
      </c>
      <c r="J54" s="14" t="n">
        <v>0.025</v>
      </c>
      <c r="K54" s="14" t="n">
        <v>0.025</v>
      </c>
      <c r="L54" s="14" t="n">
        <v>0.025</v>
      </c>
    </row>
    <row r="55" customFormat="false" ht="15" hidden="false" customHeight="false" outlineLevel="0" collapsed="false">
      <c r="A55" s="2" t="s">
        <v>63</v>
      </c>
      <c r="B55" s="11" t="s">
        <v>34</v>
      </c>
      <c r="H55" s="12" t="n">
        <f aca="false">CHOOSE(Scenario,H56,H57,H58)</f>
        <v>0.098</v>
      </c>
      <c r="I55" s="12" t="n">
        <f aca="false">CHOOSE(Scenario,I56,I57,I58)</f>
        <v>0.098</v>
      </c>
      <c r="J55" s="12" t="n">
        <f aca="false">CHOOSE(Scenario,J56,J57,J58)</f>
        <v>0.098</v>
      </c>
      <c r="K55" s="12" t="n">
        <f aca="false">CHOOSE(Scenario,K56,K57,K58)</f>
        <v>0.098</v>
      </c>
      <c r="L55" s="12" t="n">
        <f aca="false">CHOOSE(Scenario,L56,L57,L58)</f>
        <v>0.098</v>
      </c>
      <c r="M55" s="3" t="s">
        <v>64</v>
      </c>
    </row>
    <row r="56" customFormat="false" ht="15" hidden="false" customHeight="false" outlineLevel="0" collapsed="false">
      <c r="A56" s="13" t="s">
        <v>36</v>
      </c>
      <c r="H56" s="14" t="n">
        <v>0.098</v>
      </c>
      <c r="I56" s="14" t="n">
        <v>0.098</v>
      </c>
      <c r="J56" s="14" t="n">
        <v>0.098</v>
      </c>
      <c r="K56" s="14" t="n">
        <v>0.098</v>
      </c>
      <c r="L56" s="14" t="n">
        <v>0.098</v>
      </c>
    </row>
    <row r="57" customFormat="false" ht="15" hidden="false" customHeight="false" outlineLevel="0" collapsed="false">
      <c r="A57" s="13" t="s">
        <v>37</v>
      </c>
      <c r="H57" s="14" t="n">
        <v>0.098</v>
      </c>
      <c r="I57" s="14" t="n">
        <v>0.098</v>
      </c>
      <c r="J57" s="14" t="n">
        <v>0.098</v>
      </c>
      <c r="K57" s="14" t="n">
        <v>0.098</v>
      </c>
      <c r="L57" s="14" t="n">
        <v>0.098</v>
      </c>
    </row>
    <row r="58" customFormat="false" ht="15" hidden="false" customHeight="false" outlineLevel="0" collapsed="false">
      <c r="A58" s="13" t="s">
        <v>38</v>
      </c>
      <c r="H58" s="14" t="n">
        <v>0.098</v>
      </c>
      <c r="I58" s="14" t="n">
        <v>0.098</v>
      </c>
      <c r="J58" s="14" t="n">
        <v>0.098</v>
      </c>
      <c r="K58" s="14" t="n">
        <v>0.098</v>
      </c>
      <c r="L58" s="14" t="n">
        <v>0.098</v>
      </c>
    </row>
    <row r="59" customFormat="false" ht="15" hidden="false" customHeight="false" outlineLevel="0" collapsed="false">
      <c r="A59" s="2" t="s">
        <v>65</v>
      </c>
      <c r="B59" s="11" t="s">
        <v>34</v>
      </c>
      <c r="H59" s="12" t="n">
        <f aca="false">CHOOSE(Scenario,H60,H61,H62)</f>
        <v>0.036</v>
      </c>
      <c r="I59" s="12" t="n">
        <f aca="false">CHOOSE(Scenario,I60,I61,I62)</f>
        <v>0.034</v>
      </c>
      <c r="J59" s="12" t="n">
        <f aca="false">CHOOSE(Scenario,J60,J61,J62)</f>
        <v>0.032</v>
      </c>
      <c r="K59" s="12" t="n">
        <f aca="false">CHOOSE(Scenario,K60,K61,K62)</f>
        <v>0.032</v>
      </c>
      <c r="L59" s="12" t="n">
        <f aca="false">CHOOSE(Scenario,L60,L61,L62)</f>
        <v>0.032</v>
      </c>
      <c r="M59" s="3" t="s">
        <v>66</v>
      </c>
    </row>
    <row r="60" customFormat="false" ht="15" hidden="false" customHeight="false" outlineLevel="0" collapsed="false">
      <c r="A60" s="13" t="s">
        <v>36</v>
      </c>
      <c r="H60" s="14" t="n">
        <v>0.036</v>
      </c>
      <c r="I60" s="14" t="n">
        <v>0.034</v>
      </c>
      <c r="J60" s="14" t="n">
        <v>0.032</v>
      </c>
      <c r="K60" s="14" t="n">
        <v>0.032</v>
      </c>
      <c r="L60" s="14" t="n">
        <v>0.032</v>
      </c>
    </row>
    <row r="61" customFormat="false" ht="15" hidden="false" customHeight="false" outlineLevel="0" collapsed="false">
      <c r="A61" s="13" t="s">
        <v>37</v>
      </c>
      <c r="H61" s="14" t="n">
        <v>0.036</v>
      </c>
      <c r="I61" s="14" t="n">
        <v>0.035</v>
      </c>
      <c r="J61" s="14" t="n">
        <v>0.034</v>
      </c>
      <c r="K61" s="14" t="n">
        <v>0.034</v>
      </c>
      <c r="L61" s="14" t="n">
        <v>0.034</v>
      </c>
    </row>
    <row r="62" customFormat="false" ht="15" hidden="false" customHeight="false" outlineLevel="0" collapsed="false">
      <c r="A62" s="13" t="s">
        <v>38</v>
      </c>
      <c r="H62" s="14" t="n">
        <v>0.033</v>
      </c>
      <c r="I62" s="14" t="n">
        <v>0.028</v>
      </c>
      <c r="J62" s="14" t="n">
        <v>0.028</v>
      </c>
      <c r="K62" s="14" t="n">
        <v>0.028</v>
      </c>
      <c r="L62" s="14" t="n">
        <v>0.028</v>
      </c>
    </row>
    <row r="63" customFormat="false" ht="15" hidden="false" customHeight="false" outlineLevel="0" collapsed="false">
      <c r="A63" s="2" t="s">
        <v>67</v>
      </c>
      <c r="B63" s="11" t="s">
        <v>68</v>
      </c>
      <c r="H63" s="19" t="n">
        <f aca="false">CHOOSE(Scenario,H64,H65,H66)</f>
        <v>0</v>
      </c>
      <c r="I63" s="19" t="n">
        <f aca="false">CHOOSE(Scenario,I64,I65,I66)</f>
        <v>0</v>
      </c>
      <c r="J63" s="19" t="n">
        <f aca="false">CHOOSE(Scenario,J64,J65,J66)</f>
        <v>0</v>
      </c>
      <c r="K63" s="19" t="n">
        <f aca="false">CHOOSE(Scenario,K64,K65,K66)</f>
        <v>0</v>
      </c>
      <c r="L63" s="19" t="n">
        <f aca="false">CHOOSE(Scenario,L64,L65,L66)</f>
        <v>0</v>
      </c>
      <c r="M63" s="3" t="s">
        <v>69</v>
      </c>
    </row>
    <row r="64" customFormat="false" ht="15" hidden="false" customHeight="false" outlineLevel="0" collapsed="false">
      <c r="A64" s="13" t="s">
        <v>36</v>
      </c>
      <c r="H64" s="20" t="n">
        <v>0</v>
      </c>
      <c r="I64" s="20" t="n">
        <v>0</v>
      </c>
      <c r="J64" s="20" t="n">
        <v>0</v>
      </c>
      <c r="K64" s="20" t="n">
        <v>0</v>
      </c>
      <c r="L64" s="20" t="n">
        <v>0</v>
      </c>
    </row>
    <row r="65" customFormat="false" ht="15" hidden="false" customHeight="false" outlineLevel="0" collapsed="false">
      <c r="A65" s="13" t="s">
        <v>37</v>
      </c>
      <c r="H65" s="20" t="n">
        <v>20000</v>
      </c>
      <c r="I65" s="20" t="n">
        <v>20000</v>
      </c>
      <c r="J65" s="20" t="n">
        <v>20000</v>
      </c>
      <c r="K65" s="20" t="n">
        <v>20000</v>
      </c>
      <c r="L65" s="20" t="n">
        <v>20000</v>
      </c>
    </row>
    <row r="66" customFormat="false" ht="15" hidden="false" customHeight="false" outlineLevel="0" collapsed="false">
      <c r="A66" s="13" t="s">
        <v>38</v>
      </c>
      <c r="H66" s="20" t="n">
        <v>0</v>
      </c>
      <c r="I66" s="20" t="n">
        <v>0</v>
      </c>
      <c r="J66" s="20" t="n">
        <v>0</v>
      </c>
      <c r="K66" s="20" t="n">
        <v>0</v>
      </c>
      <c r="L66" s="20" t="n">
        <v>0</v>
      </c>
    </row>
    <row r="68" customFormat="false" ht="15" hidden="false" customHeight="false" outlineLevel="0" collapsed="false">
      <c r="A68" s="21" t="s">
        <v>70</v>
      </c>
    </row>
    <row r="69" customFormat="false" ht="15" hidden="false" customHeight="false" outlineLevel="0" collapsed="false">
      <c r="D69" s="10" t="s">
        <v>71</v>
      </c>
      <c r="E69" s="10" t="s">
        <v>72</v>
      </c>
      <c r="F69" s="10" t="s">
        <v>73</v>
      </c>
      <c r="G69" s="10" t="s">
        <v>74</v>
      </c>
    </row>
    <row r="70" customFormat="false" ht="15" hidden="false" customHeight="false" outlineLevel="0" collapsed="false">
      <c r="A70" s="13" t="s">
        <v>75</v>
      </c>
      <c r="D70" s="14" t="n">
        <v>0.27</v>
      </c>
      <c r="E70" s="14" t="n">
        <v>0.265</v>
      </c>
      <c r="F70" s="14" t="n">
        <v>0.28</v>
      </c>
      <c r="G70" s="12" t="n">
        <f aca="false">CHOOSE(Scenario,D70,E70,F70)</f>
        <v>0.27</v>
      </c>
      <c r="M70" s="3" t="s">
        <v>76</v>
      </c>
    </row>
    <row r="71" customFormat="false" ht="15" hidden="false" customHeight="false" outlineLevel="0" collapsed="false">
      <c r="A71" s="13" t="s">
        <v>77</v>
      </c>
      <c r="D71" s="14" t="n">
        <v>0.093</v>
      </c>
      <c r="E71" s="14" t="n">
        <v>0.093</v>
      </c>
      <c r="F71" s="14" t="n">
        <v>0.093</v>
      </c>
      <c r="G71" s="12" t="n">
        <f aca="false">CHOOSE(Scenario,D71,E71,F71)</f>
        <v>0.093</v>
      </c>
      <c r="M71" s="3" t="s">
        <v>78</v>
      </c>
    </row>
    <row r="72" customFormat="false" ht="15" hidden="false" customHeight="false" outlineLevel="0" collapsed="false">
      <c r="A72" s="13" t="s">
        <v>79</v>
      </c>
      <c r="D72" s="14" t="n">
        <v>0.0068</v>
      </c>
      <c r="E72" s="14" t="n">
        <v>0.0068</v>
      </c>
      <c r="F72" s="14" t="n">
        <v>0.0068</v>
      </c>
      <c r="G72" s="12" t="n">
        <f aca="false">CHOOSE(Scenario,D72,E72,F72)</f>
        <v>0.0068</v>
      </c>
      <c r="M72" s="3" t="s">
        <v>80</v>
      </c>
    </row>
    <row r="73" customFormat="false" ht="15" hidden="false" customHeight="false" outlineLevel="0" collapsed="false">
      <c r="A73" s="13" t="s">
        <v>81</v>
      </c>
      <c r="D73" s="14" t="n">
        <v>0.018</v>
      </c>
      <c r="E73" s="14" t="n">
        <v>0.02</v>
      </c>
      <c r="F73" s="14" t="n">
        <v>0.015</v>
      </c>
      <c r="G73" s="12" t="n">
        <f aca="false">CHOOSE(Scenario,D73,E73,F73)</f>
        <v>0.018</v>
      </c>
      <c r="M73" s="3" t="s">
        <v>82</v>
      </c>
    </row>
    <row r="74" customFormat="false" ht="15" hidden="false" customHeight="false" outlineLevel="0" collapsed="false">
      <c r="A74" s="13" t="s">
        <v>83</v>
      </c>
      <c r="D74" s="20" t="n">
        <v>-1200</v>
      </c>
      <c r="E74" s="20" t="n">
        <v>-1200</v>
      </c>
      <c r="F74" s="20" t="n">
        <v>-1200</v>
      </c>
      <c r="G74" s="19" t="n">
        <f aca="false">CHOOSE(Scenario,D74,E74,F74)</f>
        <v>-1200</v>
      </c>
      <c r="M74" s="3" t="s">
        <v>84</v>
      </c>
    </row>
    <row r="75" customFormat="false" ht="15" hidden="false" customHeight="false" outlineLevel="0" collapsed="false">
      <c r="A75" s="13" t="s">
        <v>85</v>
      </c>
      <c r="D75" s="14" t="n">
        <v>0.001</v>
      </c>
      <c r="E75" s="14" t="n">
        <v>0.001</v>
      </c>
      <c r="F75" s="14" t="n">
        <v>0.001</v>
      </c>
      <c r="G75" s="12" t="n">
        <f aca="false">CHOOSE(Scenario,D75,E75,F75)</f>
        <v>0.001</v>
      </c>
      <c r="M75" s="3" t="s">
        <v>86</v>
      </c>
    </row>
    <row r="76" customFormat="false" ht="15" hidden="false" customHeight="false" outlineLevel="0" collapsed="false">
      <c r="A76" s="13" t="s">
        <v>87</v>
      </c>
      <c r="D76" s="14" t="n">
        <v>0.5</v>
      </c>
      <c r="E76" s="14" t="n">
        <v>0.5</v>
      </c>
      <c r="F76" s="14" t="n">
        <v>0.5</v>
      </c>
      <c r="G76" s="12" t="n">
        <f aca="false">CHOOSE(Scenario,D76,E76,F76)</f>
        <v>0.5</v>
      </c>
      <c r="M76" s="3" t="s">
        <v>88</v>
      </c>
    </row>
    <row r="77" customFormat="false" ht="15" hidden="false" customHeight="false" outlineLevel="0" collapsed="false">
      <c r="A77" s="13" t="s">
        <v>89</v>
      </c>
      <c r="D77" s="20" t="n">
        <v>100000</v>
      </c>
      <c r="E77" s="20" t="n">
        <v>100000</v>
      </c>
      <c r="F77" s="20" t="n">
        <v>100000</v>
      </c>
      <c r="G77" s="19" t="n">
        <f aca="false">CHOOSE(Scenario,D77,E77,F77)</f>
        <v>100000</v>
      </c>
      <c r="M77" s="3" t="s">
        <v>90</v>
      </c>
    </row>
    <row r="78" customFormat="false" ht="15" hidden="false" customHeight="false" outlineLevel="0" collapsed="false">
      <c r="A78" s="13" t="s">
        <v>91</v>
      </c>
      <c r="D78" s="14" t="n">
        <v>0.02</v>
      </c>
      <c r="E78" s="14" t="n">
        <v>0.025</v>
      </c>
      <c r="F78" s="14" t="n">
        <v>0.015</v>
      </c>
      <c r="G78" s="12" t="n">
        <f aca="false">CHOOSE(Scenario,D78,E78,F78)</f>
        <v>0.02</v>
      </c>
      <c r="M78" s="3" t="s">
        <v>92</v>
      </c>
    </row>
    <row r="79" customFormat="false" ht="15" hidden="false" customHeight="false" outlineLevel="0" collapsed="false">
      <c r="A79" s="13" t="s">
        <v>93</v>
      </c>
      <c r="D79" s="14" t="n">
        <v>0.12</v>
      </c>
      <c r="E79" s="14" t="n">
        <v>0.15</v>
      </c>
      <c r="F79" s="14" t="n">
        <v>0.1</v>
      </c>
      <c r="G79" s="12" t="n">
        <f aca="false">CHOOSE(Scenario,D79,E79,F79)</f>
        <v>0.12</v>
      </c>
      <c r="M79" s="3" t="s">
        <v>94</v>
      </c>
    </row>
    <row r="80" customFormat="false" ht="15" hidden="false" customHeight="false" outlineLevel="0" collapsed="false">
      <c r="A80" s="13" t="s">
        <v>95</v>
      </c>
      <c r="D80" s="22" t="n">
        <v>7.5</v>
      </c>
      <c r="E80" s="22" t="n">
        <v>8.5</v>
      </c>
      <c r="F80" s="22" t="n">
        <v>6.5</v>
      </c>
      <c r="G80" s="23" t="n">
        <f aca="false">CHOOSE(Scenario,D80,E80,F80)</f>
        <v>7.5</v>
      </c>
      <c r="M80" s="3" t="s">
        <v>96</v>
      </c>
    </row>
    <row r="82" customFormat="false" ht="15" hidden="false" customHeight="false" outlineLevel="0" collapsed="false">
      <c r="A82" s="21" t="s">
        <v>97</v>
      </c>
    </row>
    <row r="83" customFormat="false" ht="15" hidden="false" customHeight="false" outlineLevel="0" collapsed="false">
      <c r="A83" s="13" t="s">
        <v>98</v>
      </c>
      <c r="D83" s="24" t="n">
        <v>46324</v>
      </c>
      <c r="M83" s="3" t="s">
        <v>99</v>
      </c>
    </row>
    <row r="84" customFormat="false" ht="15" hidden="false" customHeight="false" outlineLevel="0" collapsed="false">
      <c r="A84" s="13" t="s">
        <v>100</v>
      </c>
      <c r="D84" s="24" t="n">
        <v>46203</v>
      </c>
      <c r="M84" s="3" t="s">
        <v>101</v>
      </c>
    </row>
    <row r="85" customFormat="false" ht="15" hidden="false" customHeight="false" outlineLevel="0" collapsed="false">
      <c r="A85" s="13" t="s">
        <v>102</v>
      </c>
      <c r="D85" s="25" t="n">
        <v>5253</v>
      </c>
      <c r="M85" s="3" t="s">
        <v>103</v>
      </c>
    </row>
    <row r="86" customFormat="false" ht="15" hidden="false" customHeight="false" outlineLevel="0" collapsed="false">
      <c r="A86" s="13" t="s">
        <v>104</v>
      </c>
      <c r="D86" s="16" t="n">
        <v>257.655511</v>
      </c>
      <c r="M86" s="3" t="s">
        <v>105</v>
      </c>
    </row>
    <row r="87" customFormat="false" ht="15" hidden="false" customHeight="false" outlineLevel="0" collapsed="false">
      <c r="A87" s="13" t="s">
        <v>106</v>
      </c>
      <c r="D87" s="14" t="n">
        <v>0.02867</v>
      </c>
      <c r="M87" s="3" t="s">
        <v>107</v>
      </c>
    </row>
    <row r="88" customFormat="false" ht="15" hidden="false" customHeight="false" outlineLevel="0" collapsed="false">
      <c r="A88" s="13" t="s">
        <v>108</v>
      </c>
      <c r="D88" s="14" t="n">
        <v>0.0423</v>
      </c>
      <c r="M88" s="3" t="s">
        <v>109</v>
      </c>
    </row>
    <row r="89" customFormat="false" ht="15" hidden="false" customHeight="false" outlineLevel="0" collapsed="false">
      <c r="A89" s="13" t="s">
        <v>110</v>
      </c>
      <c r="D89" s="14" t="n">
        <v>0.0119823576533909</v>
      </c>
      <c r="M89" s="3" t="s">
        <v>111</v>
      </c>
    </row>
    <row r="90" customFormat="false" ht="15" hidden="false" customHeight="false" outlineLevel="0" collapsed="false">
      <c r="A90" s="13" t="s">
        <v>112</v>
      </c>
      <c r="D90" s="26" t="n">
        <v>1.10531271085682</v>
      </c>
      <c r="M90" s="3" t="s">
        <v>113</v>
      </c>
    </row>
    <row r="91" customFormat="false" ht="15" hidden="false" customHeight="false" outlineLevel="0" collapsed="false">
      <c r="A91" s="13" t="s">
        <v>114</v>
      </c>
      <c r="D91" s="20" t="n">
        <v>21982</v>
      </c>
      <c r="M91" s="3" t="s">
        <v>115</v>
      </c>
    </row>
    <row r="92" customFormat="false" ht="15" hidden="false" customHeight="false" outlineLevel="0" collapsed="false">
      <c r="A92" s="13" t="s">
        <v>116</v>
      </c>
      <c r="D92" s="27" t="n">
        <f aca="false">Assumptions!$D$85*Assumptions!$D$86</f>
        <v>1353464.399283</v>
      </c>
      <c r="M92" s="3" t="s">
        <v>117</v>
      </c>
    </row>
    <row r="93" customFormat="false" ht="15" hidden="false" customHeight="false" outlineLevel="0" collapsed="false">
      <c r="A93" s="13" t="s">
        <v>118</v>
      </c>
      <c r="D93" s="7" t="n">
        <f aca="false">Assumptions!$D$91/Assumptions!$D$92</f>
        <v>0.0162412842270879</v>
      </c>
      <c r="M93" s="3"/>
    </row>
    <row r="94" customFormat="false" ht="15" hidden="false" customHeight="false" outlineLevel="0" collapsed="false">
      <c r="A94" s="13" t="s">
        <v>119</v>
      </c>
      <c r="D94" s="28" t="n">
        <f aca="false">Assumptions!$D$90*(1+(1-Assumptions!$G$70)*Assumptions!$D$93)</f>
        <v>1.11841745032151</v>
      </c>
      <c r="M94" s="3" t="s">
        <v>120</v>
      </c>
    </row>
    <row r="95" customFormat="false" ht="15" hidden="false" customHeight="false" outlineLevel="0" collapsed="false">
      <c r="A95" s="13" t="s">
        <v>121</v>
      </c>
      <c r="D95" s="14" t="n">
        <v>0</v>
      </c>
      <c r="M95" s="3" t="s">
        <v>122</v>
      </c>
    </row>
    <row r="96" customFormat="false" ht="15" hidden="false" customHeight="false" outlineLevel="0" collapsed="false">
      <c r="A96" s="13" t="s">
        <v>11</v>
      </c>
      <c r="D96" s="7" t="n">
        <f aca="false">Assumptions!$D$87+Assumptions!$D$94*(Assumptions!$D$88+Assumptions!$D$89)+Assumptions!$D$95</f>
        <v>0.089380336044146</v>
      </c>
      <c r="M96" s="3" t="s">
        <v>123</v>
      </c>
    </row>
    <row r="97" customFormat="false" ht="15" hidden="false" customHeight="false" outlineLevel="0" collapsed="false">
      <c r="A97" s="13" t="s">
        <v>124</v>
      </c>
      <c r="D97" s="14" t="n">
        <v>0.0075</v>
      </c>
      <c r="M97" s="3" t="s">
        <v>125</v>
      </c>
    </row>
    <row r="98" customFormat="false" ht="15" hidden="false" customHeight="false" outlineLevel="0" collapsed="false">
      <c r="A98" s="13" t="s">
        <v>126</v>
      </c>
      <c r="D98" s="7" t="n">
        <f aca="false">(Assumptions!$D$87+Assumptions!$D$97)*(1-Assumptions!$G$70)</f>
        <v>0.0264041</v>
      </c>
      <c r="M98" s="3"/>
    </row>
    <row r="99" customFormat="false" ht="15" hidden="false" customHeight="false" outlineLevel="0" collapsed="false">
      <c r="A99" s="13" t="s">
        <v>127</v>
      </c>
      <c r="D99" s="7" t="n">
        <f aca="false">Assumptions!$D$91/(Assumptions!$D$91+Assumptions!$D$92)</f>
        <v>0.0159817205610185</v>
      </c>
      <c r="M99" s="3" t="s">
        <v>128</v>
      </c>
    </row>
    <row r="100" customFormat="false" ht="15" hidden="false" customHeight="false" outlineLevel="0" collapsed="false">
      <c r="A100" s="13" t="s">
        <v>129</v>
      </c>
      <c r="D100" s="7" t="n">
        <f aca="false">1-Assumptions!$D$99</f>
        <v>0.984018279438982</v>
      </c>
      <c r="M100" s="3"/>
    </row>
    <row r="101" customFormat="false" ht="15" hidden="false" customHeight="false" outlineLevel="0" collapsed="false">
      <c r="A101" s="13" t="s">
        <v>10</v>
      </c>
      <c r="D101" s="29" t="n">
        <f aca="false">Assumptions!$D$100*Assumptions!$D$96+Assumptions!$D$99*Assumptions!$D$98</f>
        <v>0.0883738674377037</v>
      </c>
      <c r="M101" s="3"/>
    </row>
    <row r="102" customFormat="false" ht="15" hidden="false" customHeight="false" outlineLevel="0" collapsed="false">
      <c r="A102" s="13" t="s">
        <v>130</v>
      </c>
      <c r="D102" s="20" t="n">
        <v>256364</v>
      </c>
      <c r="M102" s="3" t="s">
        <v>131</v>
      </c>
    </row>
    <row r="103" customFormat="false" ht="15" hidden="false" customHeight="false" outlineLevel="0" collapsed="false">
      <c r="A103" s="13" t="s">
        <v>132</v>
      </c>
      <c r="D103" s="20" t="n">
        <v>27921</v>
      </c>
      <c r="M103" s="3" t="s">
        <v>131</v>
      </c>
    </row>
    <row r="104" customFormat="false" ht="15" hidden="false" customHeight="false" outlineLevel="0" collapsed="false">
      <c r="A104" s="13" t="s">
        <v>133</v>
      </c>
      <c r="D104" s="20" t="n">
        <v>55562</v>
      </c>
      <c r="M104" s="3" t="s">
        <v>134</v>
      </c>
    </row>
    <row r="105" customFormat="false" ht="15" hidden="false" customHeight="false" outlineLevel="0" collapsed="false">
      <c r="A105" s="13" t="s">
        <v>135</v>
      </c>
      <c r="D105" s="20" t="n">
        <v>1604</v>
      </c>
      <c r="M105" s="3" t="s">
        <v>131</v>
      </c>
    </row>
    <row r="106" customFormat="false" ht="15" hidden="false" customHeight="false" outlineLevel="0" collapsed="false">
      <c r="A106" s="13" t="s">
        <v>136</v>
      </c>
      <c r="D106" s="20" t="n">
        <v>7432</v>
      </c>
      <c r="M106" s="3" t="s">
        <v>131</v>
      </c>
    </row>
    <row r="107" customFormat="false" ht="15" hidden="false" customHeight="false" outlineLevel="0" collapsed="false">
      <c r="A107" s="13" t="s">
        <v>137</v>
      </c>
      <c r="D107" s="20" t="n">
        <v>19104</v>
      </c>
      <c r="M107" s="3" t="s">
        <v>138</v>
      </c>
    </row>
    <row r="108" customFormat="false" ht="15" hidden="false" customHeight="false" outlineLevel="0" collapsed="false">
      <c r="A108" s="13" t="s">
        <v>139</v>
      </c>
      <c r="D108" s="25" t="n">
        <v>79</v>
      </c>
      <c r="M108" s="3" t="s">
        <v>140</v>
      </c>
    </row>
  </sheetData>
  <dataValidations count="1">
    <dataValidation allowBlank="true" errorStyle="stop" operator="between" showDropDown="false" showErrorMessage="true" showInputMessage="true" sqref="D4" type="list">
      <formula1>"1,2,3"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.71"/>
    <col collapsed="false" customWidth="true" hidden="false" outlineLevel="0" max="12" min="3" style="0" width="11.71"/>
    <col collapsed="false" customWidth="true" hidden="false" outlineLevel="0" max="13" min="13" style="0" width="90.71"/>
  </cols>
  <sheetData>
    <row r="1" customFormat="false" ht="17.35" hidden="false" customHeight="false" outlineLevel="0" collapsed="false">
      <c r="A1" s="1" t="s">
        <v>141</v>
      </c>
    </row>
    <row r="2" customFormat="false" ht="15" hidden="false" customHeight="false" outlineLevel="0" collapsed="false">
      <c r="A2" s="3" t="s">
        <v>142</v>
      </c>
    </row>
    <row r="4" customFormat="false" ht="15" hidden="false" customHeight="false" outlineLevel="0" collapsed="false">
      <c r="A4" s="9" t="s">
        <v>143</v>
      </c>
      <c r="B4" s="9"/>
      <c r="C4" s="10" t="s">
        <v>22</v>
      </c>
      <c r="D4" s="10" t="s">
        <v>23</v>
      </c>
      <c r="E4" s="10" t="s">
        <v>24</v>
      </c>
      <c r="F4" s="10" t="s">
        <v>25</v>
      </c>
      <c r="G4" s="10" t="s">
        <v>26</v>
      </c>
      <c r="H4" s="10" t="s">
        <v>27</v>
      </c>
      <c r="I4" s="10" t="s">
        <v>28</v>
      </c>
      <c r="J4" s="10" t="s">
        <v>29</v>
      </c>
      <c r="K4" s="10" t="s">
        <v>30</v>
      </c>
      <c r="L4" s="10" t="s">
        <v>31</v>
      </c>
      <c r="M4" s="9" t="s">
        <v>32</v>
      </c>
    </row>
    <row r="6" customFormat="false" ht="15" hidden="false" customHeight="false" outlineLevel="0" collapsed="false">
      <c r="A6" s="21" t="s">
        <v>144</v>
      </c>
    </row>
    <row r="7" customFormat="false" ht="15" hidden="false" customHeight="false" outlineLevel="0" collapsed="false">
      <c r="A7" s="13" t="s">
        <v>145</v>
      </c>
      <c r="B7" s="11"/>
      <c r="C7" s="16" t="n">
        <v>112.39</v>
      </c>
      <c r="D7" s="16" t="n">
        <v>135.5</v>
      </c>
      <c r="E7" s="16" t="n">
        <v>144.59</v>
      </c>
      <c r="F7" s="16" t="n">
        <v>152.62</v>
      </c>
      <c r="G7" s="16" t="n">
        <v>150.67</v>
      </c>
      <c r="H7" s="30" t="n">
        <f aca="false">Assumptions!H23</f>
        <v>158.26</v>
      </c>
      <c r="I7" s="30" t="n">
        <f aca="false">Assumptions!I23</f>
        <v>157.82</v>
      </c>
      <c r="J7" s="30" t="n">
        <f aca="false">Assumptions!J23</f>
        <v>157.82</v>
      </c>
      <c r="K7" s="30" t="n">
        <f aca="false">Assumptions!K23</f>
        <v>157.82</v>
      </c>
      <c r="L7" s="30" t="n">
        <f aca="false">Assumptions!L23</f>
        <v>157.82</v>
      </c>
      <c r="M7" s="3" t="s">
        <v>146</v>
      </c>
    </row>
    <row r="8" customFormat="false" ht="15" hidden="false" customHeight="false" outlineLevel="0" collapsed="false">
      <c r="A8" s="13" t="s">
        <v>147</v>
      </c>
      <c r="B8" s="11"/>
      <c r="C8" s="16" t="n">
        <v>130.55</v>
      </c>
      <c r="D8" s="16" t="n">
        <v>140.99</v>
      </c>
      <c r="E8" s="16" t="n">
        <v>156.75</v>
      </c>
      <c r="F8" s="16" t="n">
        <v>163.88</v>
      </c>
      <c r="G8" s="16" t="n">
        <v>174.64</v>
      </c>
      <c r="H8" s="30" t="n">
        <f aca="false">Assumptions!H27</f>
        <v>178.38</v>
      </c>
      <c r="I8" s="30" t="n">
        <f aca="false">Assumptions!I27</f>
        <v>176.03</v>
      </c>
      <c r="J8" s="30" t="n">
        <f aca="false">Assumptions!J27</f>
        <v>176.03</v>
      </c>
      <c r="K8" s="30" t="n">
        <f aca="false">Assumptions!K27</f>
        <v>176.03</v>
      </c>
      <c r="L8" s="30" t="n">
        <f aca="false">Assumptions!L27</f>
        <v>176.03</v>
      </c>
    </row>
    <row r="10" customFormat="false" ht="15" hidden="false" customHeight="false" outlineLevel="0" collapsed="false">
      <c r="A10" s="21" t="s">
        <v>148</v>
      </c>
    </row>
    <row r="11" customFormat="false" ht="15" hidden="false" customHeight="false" outlineLevel="0" collapsed="false">
      <c r="A11" s="13" t="s">
        <v>149</v>
      </c>
      <c r="B11" s="11"/>
      <c r="C11" s="20" t="n">
        <v>352470</v>
      </c>
      <c r="D11" s="20" t="n">
        <v>348994</v>
      </c>
      <c r="E11" s="20" t="n">
        <v>356491</v>
      </c>
      <c r="F11" s="20" t="n">
        <v>371798</v>
      </c>
      <c r="G11" s="20" t="n">
        <v>390110</v>
      </c>
      <c r="H11" s="27" t="n">
        <f aca="false">G11*(1+Assumptions!H7)*(H8/G8)</f>
        <v>398464.394182318</v>
      </c>
      <c r="I11" s="27" t="n">
        <f aca="false">H11*(1+Assumptions!I7)*(I8/H8)</f>
        <v>403045.349762368</v>
      </c>
      <c r="J11" s="27" t="n">
        <f aca="false">I11*(1+Assumptions!J7)*(J8/I8)</f>
        <v>415136.710255239</v>
      </c>
      <c r="K11" s="27" t="n">
        <f aca="false">J11*(1+Assumptions!K7)*(K8/J8)</f>
        <v>427590.811562897</v>
      </c>
      <c r="L11" s="27" t="n">
        <f aca="false">K11*(1+Assumptions!L7)*(L8/K8)</f>
        <v>440418.535909783</v>
      </c>
      <c r="M11" s="3" t="s">
        <v>150</v>
      </c>
    </row>
    <row r="12" customFormat="false" ht="15" hidden="false" customHeight="false" outlineLevel="0" collapsed="false">
      <c r="A12" s="13" t="s">
        <v>151</v>
      </c>
      <c r="B12" s="11"/>
      <c r="C12" s="7" t="str">
        <f aca="false">""</f>
        <v/>
      </c>
      <c r="D12" s="7" t="n">
        <f aca="false">IFERROR(D11/C11-1,"")</f>
        <v>-0.00986183221267056</v>
      </c>
      <c r="E12" s="7" t="n">
        <f aca="false">IFERROR(E11/D11-1,"")</f>
        <v>0.0214817446718281</v>
      </c>
      <c r="F12" s="7" t="n">
        <f aca="false">IFERROR(F11/E11-1,"")</f>
        <v>0.042937970383544</v>
      </c>
      <c r="G12" s="7" t="n">
        <f aca="false">IFERROR(G11/F11-1,"")</f>
        <v>0.0492525511164665</v>
      </c>
      <c r="H12" s="7" t="n">
        <f aca="false">H11/G11-1</f>
        <v>0.0214154832798901</v>
      </c>
      <c r="I12" s="7" t="n">
        <f aca="false">I11/H11-1</f>
        <v>0.0114965242740217</v>
      </c>
      <c r="J12" s="7" t="n">
        <f aca="false">J11/I11-1</f>
        <v>0.03</v>
      </c>
      <c r="K12" s="7" t="n">
        <f aca="false">K11/J11-1</f>
        <v>0.03</v>
      </c>
      <c r="L12" s="7" t="n">
        <f aca="false">L11/K11-1</f>
        <v>0.03</v>
      </c>
    </row>
    <row r="13" customFormat="false" ht="15" hidden="false" customHeight="false" outlineLevel="0" collapsed="false">
      <c r="A13" s="13" t="s">
        <v>152</v>
      </c>
      <c r="B13" s="11"/>
      <c r="C13" s="7" t="str">
        <f aca="false">""</f>
        <v/>
      </c>
      <c r="D13" s="7" t="n">
        <f aca="false">(D11/C11)/(D8/C8)-1</f>
        <v>-0.0831793899947807</v>
      </c>
      <c r="E13" s="7" t="n">
        <f aca="false">(E11/D11)/(E8/D8)-1</f>
        <v>-0.0812203433411097</v>
      </c>
      <c r="F13" s="7" t="n">
        <f aca="false">(F11/E11)/(F8/E8)-1</f>
        <v>-0.00243759545020428</v>
      </c>
      <c r="G13" s="7" t="n">
        <f aca="false">(G11/F11)/(G8/F8)-1</f>
        <v>-0.0153944796325782</v>
      </c>
      <c r="H13" s="7" t="n">
        <f aca="false">Assumptions!H7</f>
        <v>0</v>
      </c>
      <c r="I13" s="7" t="n">
        <f aca="false">Assumptions!I7</f>
        <v>0.025</v>
      </c>
      <c r="J13" s="7" t="n">
        <f aca="false">Assumptions!J7</f>
        <v>0.03</v>
      </c>
      <c r="K13" s="7" t="n">
        <f aca="false">Assumptions!K7</f>
        <v>0.03</v>
      </c>
      <c r="L13" s="7" t="n">
        <f aca="false">Assumptions!L7</f>
        <v>0.03</v>
      </c>
      <c r="M13" s="3" t="s">
        <v>153</v>
      </c>
    </row>
    <row r="15" customFormat="false" ht="15" hidden="false" customHeight="false" outlineLevel="0" collapsed="false">
      <c r="A15" s="21" t="s">
        <v>154</v>
      </c>
    </row>
    <row r="16" customFormat="false" ht="15" hidden="false" customHeight="false" outlineLevel="0" collapsed="false">
      <c r="A16" s="13" t="s">
        <v>155</v>
      </c>
      <c r="B16" s="11"/>
      <c r="C16" s="20" t="n">
        <v>118050</v>
      </c>
      <c r="D16" s="20" t="n">
        <v>122978</v>
      </c>
      <c r="E16" s="20" t="n">
        <v>123222</v>
      </c>
      <c r="F16" s="20" t="n">
        <v>127168</v>
      </c>
      <c r="G16" s="20" t="n">
        <v>132136</v>
      </c>
      <c r="H16" s="27" t="n">
        <f aca="false">G16*(1+Assumptions!H11)</f>
        <v>135439.4</v>
      </c>
      <c r="I16" s="27" t="n">
        <f aca="false">H16*(1+Assumptions!I11)</f>
        <v>138148.188</v>
      </c>
      <c r="J16" s="27" t="n">
        <f aca="false">I16*(1+Assumptions!J11)</f>
        <v>140911.15176</v>
      </c>
      <c r="K16" s="27" t="n">
        <f aca="false">J16*(1+Assumptions!K11)</f>
        <v>143729.3747952</v>
      </c>
      <c r="L16" s="27" t="n">
        <f aca="false">K16*(1+Assumptions!L11)</f>
        <v>145885.315417128</v>
      </c>
      <c r="M16" s="3" t="s">
        <v>150</v>
      </c>
    </row>
    <row r="17" customFormat="false" ht="15" hidden="false" customHeight="false" outlineLevel="0" collapsed="false">
      <c r="A17" s="13" t="s">
        <v>151</v>
      </c>
      <c r="B17" s="11"/>
      <c r="C17" s="7" t="str">
        <f aca="false">""</f>
        <v/>
      </c>
      <c r="D17" s="7" t="n">
        <f aca="false">IFERROR(D16/C16-1,"")</f>
        <v>0.0417450232952139</v>
      </c>
      <c r="E17" s="7" t="n">
        <f aca="false">IFERROR(E16/D16-1,"")</f>
        <v>0.00198409471612804</v>
      </c>
      <c r="F17" s="7" t="n">
        <f aca="false">IFERROR(F16/E16-1,"")</f>
        <v>0.0320235022966677</v>
      </c>
      <c r="G17" s="7" t="n">
        <f aca="false">IFERROR(G16/F16-1,"")</f>
        <v>0.0390664318067437</v>
      </c>
      <c r="H17" s="7" t="n">
        <f aca="false">H16/G16-1</f>
        <v>0.0249999999999999</v>
      </c>
      <c r="I17" s="7" t="n">
        <f aca="false">I16/H16-1</f>
        <v>0.02</v>
      </c>
      <c r="J17" s="7" t="n">
        <f aca="false">J16/I16-1</f>
        <v>0.02</v>
      </c>
      <c r="K17" s="7" t="n">
        <f aca="false">K16/J16-1</f>
        <v>0.02</v>
      </c>
      <c r="L17" s="7" t="n">
        <f aca="false">L16/K16-1</f>
        <v>0.0149999999999999</v>
      </c>
    </row>
    <row r="18" customFormat="false" ht="15" hidden="false" customHeight="false" outlineLevel="0" collapsed="false">
      <c r="A18" s="13" t="s">
        <v>152</v>
      </c>
      <c r="B18" s="11"/>
      <c r="C18" s="7" t="str">
        <f aca="false">""</f>
        <v/>
      </c>
      <c r="D18" s="7" t="n">
        <f aca="false">D16/C16-1</f>
        <v>0.0417450232952139</v>
      </c>
      <c r="E18" s="7" t="n">
        <f aca="false">E16/D16-1</f>
        <v>0.00198409471612804</v>
      </c>
      <c r="F18" s="7" t="n">
        <f aca="false">F16/E16-1</f>
        <v>0.0320235022966677</v>
      </c>
      <c r="G18" s="7" t="n">
        <f aca="false">G16/F16-1</f>
        <v>0.0390664318067437</v>
      </c>
      <c r="H18" s="7" t="n">
        <f aca="false">Assumptions!H11</f>
        <v>0.025</v>
      </c>
      <c r="I18" s="7" t="n">
        <f aca="false">Assumptions!I11</f>
        <v>0.02</v>
      </c>
      <c r="J18" s="7" t="n">
        <f aca="false">Assumptions!J11</f>
        <v>0.02</v>
      </c>
      <c r="K18" s="7" t="n">
        <f aca="false">Assumptions!K11</f>
        <v>0.02</v>
      </c>
      <c r="L18" s="7" t="n">
        <f aca="false">Assumptions!L11</f>
        <v>0.015</v>
      </c>
      <c r="M18" s="3" t="s">
        <v>153</v>
      </c>
    </row>
    <row r="20" customFormat="false" ht="15" hidden="false" customHeight="false" outlineLevel="0" collapsed="false">
      <c r="A20" s="21" t="s">
        <v>156</v>
      </c>
    </row>
    <row r="21" customFormat="false" ht="15" hidden="false" customHeight="false" outlineLevel="0" collapsed="false">
      <c r="A21" s="13" t="s">
        <v>157</v>
      </c>
      <c r="B21" s="11"/>
      <c r="C21" s="20" t="n">
        <v>112248</v>
      </c>
      <c r="D21" s="20" t="n">
        <v>119064</v>
      </c>
      <c r="E21" s="20" t="n">
        <v>93677</v>
      </c>
      <c r="F21" s="20" t="n">
        <v>83919</v>
      </c>
      <c r="G21" s="20" t="n">
        <v>78662</v>
      </c>
      <c r="H21" s="27" t="n">
        <f aca="false">G21*(1+Assumptions!H15)*(H7/G7)</f>
        <v>85103.3355253203</v>
      </c>
      <c r="I21" s="27" t="n">
        <f aca="false">H21*(1+Assumptions!I15)*(I7/H7)</f>
        <v>87412.7300959448</v>
      </c>
      <c r="J21" s="27" t="n">
        <f aca="false">I21*(1+Assumptions!J15)*(J7/I7)</f>
        <v>90035.1119988232</v>
      </c>
      <c r="K21" s="27" t="n">
        <f aca="false">J21*(1+Assumptions!K15)*(K7/J7)</f>
        <v>92736.1653587879</v>
      </c>
      <c r="L21" s="27" t="n">
        <f aca="false">K21*(1+Assumptions!L15)*(L7/K7)</f>
        <v>95518.2503195515</v>
      </c>
      <c r="M21" s="3" t="s">
        <v>150</v>
      </c>
    </row>
    <row r="22" customFormat="false" ht="15" hidden="false" customHeight="false" outlineLevel="0" collapsed="false">
      <c r="A22" s="13" t="s">
        <v>151</v>
      </c>
      <c r="B22" s="11"/>
      <c r="C22" s="7" t="str">
        <f aca="false">""</f>
        <v/>
      </c>
      <c r="D22" s="7" t="n">
        <f aca="false">IFERROR(D21/C21-1,"")</f>
        <v>0.0607226854821468</v>
      </c>
      <c r="E22" s="7" t="n">
        <f aca="false">IFERROR(E21/D21-1,"")</f>
        <v>-0.213221460727004</v>
      </c>
      <c r="F22" s="7" t="n">
        <f aca="false">IFERROR(F21/E21-1,"")</f>
        <v>-0.104166444271273</v>
      </c>
      <c r="G22" s="7" t="n">
        <f aca="false">IFERROR(G21/F21-1,"")</f>
        <v>-0.0626437397967088</v>
      </c>
      <c r="H22" s="7" t="n">
        <f aca="false">H21/G21-1</f>
        <v>0.0818862414548351</v>
      </c>
      <c r="I22" s="7" t="n">
        <f aca="false">I21/H21-1</f>
        <v>0.0271363578920765</v>
      </c>
      <c r="J22" s="7" t="n">
        <f aca="false">J21/I21-1</f>
        <v>0.03</v>
      </c>
      <c r="K22" s="7" t="n">
        <f aca="false">K21/J21-1</f>
        <v>0.03</v>
      </c>
      <c r="L22" s="7" t="n">
        <f aca="false">L21/K21-1</f>
        <v>0.03</v>
      </c>
    </row>
    <row r="23" customFormat="false" ht="15" hidden="false" customHeight="false" outlineLevel="0" collapsed="false">
      <c r="A23" s="13" t="s">
        <v>152</v>
      </c>
      <c r="B23" s="11"/>
      <c r="C23" s="7" t="str">
        <f aca="false">""</f>
        <v/>
      </c>
      <c r="D23" s="7" t="n">
        <f aca="false">(D21/C21)/(D7/C7)-1</f>
        <v>-0.120187286927391</v>
      </c>
      <c r="E23" s="7" t="n">
        <f aca="false">(E21/D21)/(E7/D7)-1</f>
        <v>-0.262684196199661</v>
      </c>
      <c r="F23" s="7" t="n">
        <f aca="false">(F21/E21)/(F7/E7)-1</f>
        <v>-0.151300132205368</v>
      </c>
      <c r="G23" s="7" t="n">
        <f aca="false">(G21/F21)/(G7/F7)-1</f>
        <v>-0.0505122955317826</v>
      </c>
      <c r="H23" s="7" t="n">
        <f aca="false">Assumptions!H15</f>
        <v>0.03</v>
      </c>
      <c r="I23" s="7" t="n">
        <f aca="false">Assumptions!I15</f>
        <v>0.03</v>
      </c>
      <c r="J23" s="7" t="n">
        <f aca="false">Assumptions!J15</f>
        <v>0.03</v>
      </c>
      <c r="K23" s="7" t="n">
        <f aca="false">Assumptions!K15</f>
        <v>0.03</v>
      </c>
      <c r="L23" s="7" t="n">
        <f aca="false">Assumptions!L15</f>
        <v>0.03</v>
      </c>
      <c r="M23" s="3" t="s">
        <v>153</v>
      </c>
    </row>
    <row r="25" customFormat="false" ht="15" hidden="false" customHeight="false" outlineLevel="0" collapsed="false">
      <c r="A25" s="21" t="s">
        <v>158</v>
      </c>
    </row>
    <row r="26" customFormat="false" ht="15" hidden="false" customHeight="false" outlineLevel="0" collapsed="false">
      <c r="A26" s="13" t="s">
        <v>159</v>
      </c>
      <c r="B26" s="11"/>
      <c r="C26" s="20" t="n">
        <v>156492</v>
      </c>
      <c r="D26" s="20" t="n">
        <v>173666</v>
      </c>
      <c r="E26" s="20" t="n">
        <v>168001</v>
      </c>
      <c r="F26" s="20" t="n">
        <v>170246</v>
      </c>
      <c r="G26" s="20" t="n">
        <v>176692</v>
      </c>
      <c r="H26" s="27" t="n">
        <f aca="false">G26*(1+Assumptions!H19)*(H7/G7)</f>
        <v>189304.715194797</v>
      </c>
      <c r="I26" s="27" t="n">
        <f aca="false">H26*(1+Assumptions!I19)*(I7/H7)</f>
        <v>195385.647714927</v>
      </c>
      <c r="J26" s="27" t="n">
        <f aca="false">I26*(1+Assumptions!J19)*(J7/I7)</f>
        <v>203201.073623524</v>
      </c>
      <c r="K26" s="27" t="n">
        <f aca="false">J26*(1+Assumptions!K19)*(K7/J7)</f>
        <v>211329.116568465</v>
      </c>
      <c r="L26" s="27" t="n">
        <f aca="false">K26*(1+Assumptions!L19)*(L7/K7)</f>
        <v>218725.635648361</v>
      </c>
      <c r="M26" s="3" t="s">
        <v>150</v>
      </c>
    </row>
    <row r="27" customFormat="false" ht="15" hidden="false" customHeight="false" outlineLevel="0" collapsed="false">
      <c r="A27" s="13" t="s">
        <v>151</v>
      </c>
      <c r="B27" s="11"/>
      <c r="C27" s="7" t="str">
        <f aca="false">""</f>
        <v/>
      </c>
      <c r="D27" s="7" t="n">
        <f aca="false">IFERROR(D26/C26-1,"")</f>
        <v>0.109743629067301</v>
      </c>
      <c r="E27" s="7" t="n">
        <f aca="false">IFERROR(E26/D26-1,"")</f>
        <v>-0.0326200868333467</v>
      </c>
      <c r="F27" s="7" t="n">
        <f aca="false">IFERROR(F26/E26-1,"")</f>
        <v>0.0133630156963351</v>
      </c>
      <c r="G27" s="7" t="n">
        <f aca="false">IFERROR(G26/F26-1,"")</f>
        <v>0.0378628572771167</v>
      </c>
      <c r="H27" s="7" t="n">
        <f aca="false">H26/G26-1</f>
        <v>0.0713824915377979</v>
      </c>
      <c r="I27" s="7" t="n">
        <f aca="false">I26/H26-1</f>
        <v>0.032122456716795</v>
      </c>
      <c r="J27" s="7" t="n">
        <f aca="false">J26/I26-1</f>
        <v>0.04</v>
      </c>
      <c r="K27" s="7" t="n">
        <f aca="false">K26/J26-1</f>
        <v>0.04</v>
      </c>
      <c r="L27" s="7" t="n">
        <f aca="false">L26/K26-1</f>
        <v>0.0349999999999999</v>
      </c>
    </row>
    <row r="28" customFormat="false" ht="15" hidden="false" customHeight="false" outlineLevel="0" collapsed="false">
      <c r="A28" s="13" t="s">
        <v>152</v>
      </c>
      <c r="B28" s="11"/>
      <c r="C28" s="7" t="str">
        <f aca="false">""</f>
        <v/>
      </c>
      <c r="D28" s="7" t="n">
        <f aca="false">(D26/C26)/(D7/C7)-1</f>
        <v>-0.0795270371153216</v>
      </c>
      <c r="E28" s="7" t="n">
        <f aca="false">(E26/D26)/(E7/D7)-1</f>
        <v>-0.0934367644091465</v>
      </c>
      <c r="F28" s="7" t="n">
        <f aca="false">(F26/E26)/(F7/E7)-1</f>
        <v>-0.0399544067649517</v>
      </c>
      <c r="G28" s="7" t="n">
        <f aca="false">(G26/F26)/(G7/F7)-1</f>
        <v>0.0512950771728518</v>
      </c>
      <c r="H28" s="7" t="n">
        <f aca="false">Assumptions!H19</f>
        <v>0.02</v>
      </c>
      <c r="I28" s="7" t="n">
        <f aca="false">Assumptions!I19</f>
        <v>0.035</v>
      </c>
      <c r="J28" s="7" t="n">
        <f aca="false">Assumptions!J19</f>
        <v>0.04</v>
      </c>
      <c r="K28" s="7" t="n">
        <f aca="false">Assumptions!K19</f>
        <v>0.04</v>
      </c>
      <c r="L28" s="7" t="n">
        <f aca="false">Assumptions!L19</f>
        <v>0.035</v>
      </c>
      <c r="M28" s="3" t="s">
        <v>153</v>
      </c>
    </row>
    <row r="30" customFormat="false" ht="15" hidden="false" customHeight="false" outlineLevel="0" collapsed="false">
      <c r="A30" s="21" t="s">
        <v>160</v>
      </c>
    </row>
    <row r="31" customFormat="false" ht="15" hidden="false" customHeight="false" outlineLevel="0" collapsed="false">
      <c r="A31" s="2" t="s">
        <v>161</v>
      </c>
      <c r="B31" s="11"/>
      <c r="C31" s="19" t="n">
        <f aca="false">C11+C16+C21+C26</f>
        <v>739260</v>
      </c>
      <c r="D31" s="19" t="n">
        <f aca="false">D11+D16+D21+D26</f>
        <v>764702</v>
      </c>
      <c r="E31" s="19" t="n">
        <f aca="false">E11+E16+E21+E26</f>
        <v>741391</v>
      </c>
      <c r="F31" s="19" t="n">
        <f aca="false">F11+F16+F21+F26</f>
        <v>753131</v>
      </c>
      <c r="G31" s="19" t="n">
        <f aca="false">G11+G16+G21+G26</f>
        <v>777600</v>
      </c>
      <c r="H31" s="19" t="n">
        <f aca="false">H11+H16+H21+H26</f>
        <v>808311.844902435</v>
      </c>
      <c r="I31" s="19" t="n">
        <f aca="false">I11+I16+I21+I26</f>
        <v>823991.91557324</v>
      </c>
      <c r="J31" s="19" t="n">
        <f aca="false">J11+J16+J21+J26</f>
        <v>849284.047637586</v>
      </c>
      <c r="K31" s="19" t="n">
        <f aca="false">K11+K16+K21+K26</f>
        <v>875385.468285349</v>
      </c>
      <c r="L31" s="19" t="n">
        <f aca="false">L11+L16+L21+L26</f>
        <v>900547.737294824</v>
      </c>
    </row>
    <row r="32" customFormat="false" ht="15" hidden="false" customHeight="false" outlineLevel="0" collapsed="false">
      <c r="A32" s="13" t="s">
        <v>162</v>
      </c>
      <c r="B32" s="11"/>
      <c r="C32" s="7" t="str">
        <f aca="false">""</f>
        <v/>
      </c>
      <c r="D32" s="7" t="n">
        <f aca="false">D31/C31-1</f>
        <v>0.0344154965776586</v>
      </c>
      <c r="E32" s="7" t="n">
        <f aca="false">E31/D31-1</f>
        <v>-0.0304837701483716</v>
      </c>
      <c r="F32" s="7" t="n">
        <f aca="false">F31/E31-1</f>
        <v>0.0158350991582039</v>
      </c>
      <c r="G32" s="7" t="n">
        <f aca="false">G31/F31-1</f>
        <v>0.0324896996671229</v>
      </c>
      <c r="H32" s="7" t="n">
        <f aca="false">H31/G31-1</f>
        <v>0.0394956853169171</v>
      </c>
      <c r="I32" s="7" t="n">
        <f aca="false">I31/H31-1</f>
        <v>0.0193985412556927</v>
      </c>
      <c r="J32" s="7" t="n">
        <f aca="false">J31/I31-1</f>
        <v>0.0306946361806852</v>
      </c>
      <c r="K32" s="7" t="n">
        <f aca="false">K31/J31-1</f>
        <v>0.0307334403847195</v>
      </c>
      <c r="L32" s="7" t="n">
        <f aca="false">L31/K31-1</f>
        <v>0.0287442160294951</v>
      </c>
    </row>
    <row r="33" customFormat="false" ht="15" hidden="false" customHeight="false" outlineLevel="0" collapsed="false">
      <c r="A33" s="13" t="s">
        <v>163</v>
      </c>
      <c r="B33" s="11"/>
      <c r="H33" s="7" t="n">
        <f aca="false">(H31-SUMPRODUCT(G11*(1+Assumptions!H7)+G16*(1+Assumptions!H11)+G21*(1+Assumptions!H15)+G26*(1+Assumptions!H19)))/G31</f>
        <v>0.0276681390206208</v>
      </c>
      <c r="I33" s="7" t="n">
        <f aca="false">(I31-SUMPRODUCT(H11*(1+Assumptions!I7)+H16*(1+Assumptions!I11)+H21*(1+Assumptions!I15)+H26*(1+Assumptions!I19)))/H31</f>
        <v>-0.00763206962787364</v>
      </c>
      <c r="J33" s="7" t="n">
        <f aca="false">(J31-SUMPRODUCT(I11*(1+Assumptions!J7)+I16*(1+Assumptions!J11)+I21*(1+Assumptions!J15)+I26*(1+Assumptions!J19)))/I31</f>
        <v>0</v>
      </c>
      <c r="K33" s="7" t="n">
        <f aca="false">(K31-SUMPRODUCT(J11*(1+Assumptions!K7)+J16*(1+Assumptions!K11)+J21*(1+Assumptions!K15)+J26*(1+Assumptions!K19)))/J31</f>
        <v>0</v>
      </c>
      <c r="L33" s="7" t="n">
        <f aca="false">(L31-SUMPRODUCT(K11*(1+Assumptions!L7)+K16*(1+Assumptions!L11)+K21*(1+Assumptions!L15)+K26*(1+Assumptions!L19)))/K31</f>
        <v>0</v>
      </c>
      <c r="M33" s="3" t="s">
        <v>164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.71"/>
    <col collapsed="false" customWidth="true" hidden="false" outlineLevel="0" max="12" min="3" style="0" width="11.71"/>
    <col collapsed="false" customWidth="true" hidden="false" outlineLevel="0" max="13" min="13" style="0" width="90.71"/>
  </cols>
  <sheetData>
    <row r="1" customFormat="false" ht="17.35" hidden="false" customHeight="false" outlineLevel="0" collapsed="false">
      <c r="A1" s="1" t="s">
        <v>165</v>
      </c>
    </row>
    <row r="2" customFormat="false" ht="15" hidden="false" customHeight="false" outlineLevel="0" collapsed="false">
      <c r="A2" s="3" t="s">
        <v>166</v>
      </c>
    </row>
    <row r="4" customFormat="false" ht="15" hidden="false" customHeight="false" outlineLevel="0" collapsed="false">
      <c r="A4" s="9" t="s">
        <v>143</v>
      </c>
      <c r="B4" s="9"/>
      <c r="C4" s="10" t="s">
        <v>22</v>
      </c>
      <c r="D4" s="10" t="s">
        <v>23</v>
      </c>
      <c r="E4" s="10" t="s">
        <v>24</v>
      </c>
      <c r="F4" s="10" t="s">
        <v>25</v>
      </c>
      <c r="G4" s="10" t="s">
        <v>26</v>
      </c>
      <c r="H4" s="10" t="s">
        <v>27</v>
      </c>
      <c r="I4" s="10" t="s">
        <v>28</v>
      </c>
      <c r="J4" s="10" t="s">
        <v>29</v>
      </c>
      <c r="K4" s="10" t="s">
        <v>30</v>
      </c>
      <c r="L4" s="10" t="s">
        <v>31</v>
      </c>
      <c r="M4" s="9" t="s">
        <v>32</v>
      </c>
    </row>
    <row r="5" customFormat="false" ht="15" hidden="false" customHeight="false" outlineLevel="0" collapsed="false">
      <c r="A5" s="2" t="s">
        <v>167</v>
      </c>
      <c r="B5" s="11"/>
      <c r="C5" s="31" t="n">
        <v>739260</v>
      </c>
      <c r="D5" s="31" t="n">
        <v>764702</v>
      </c>
      <c r="E5" s="31" t="n">
        <v>741391</v>
      </c>
      <c r="F5" s="31" t="n">
        <v>753130</v>
      </c>
      <c r="G5" s="31" t="n">
        <v>777600</v>
      </c>
      <c r="H5" s="19" t="n">
        <f aca="false">Drivers!H31</f>
        <v>808311.844902435</v>
      </c>
      <c r="I5" s="19" t="n">
        <f aca="false">Drivers!I31</f>
        <v>823991.91557324</v>
      </c>
      <c r="J5" s="19" t="n">
        <f aca="false">Drivers!J31</f>
        <v>849284.047637586</v>
      </c>
      <c r="K5" s="19" t="n">
        <f aca="false">Drivers!K31</f>
        <v>875385.468285349</v>
      </c>
      <c r="L5" s="19" t="n">
        <f aca="false">Drivers!L31</f>
        <v>900547.737294824</v>
      </c>
      <c r="M5" s="3" t="s">
        <v>168</v>
      </c>
    </row>
    <row r="6" customFormat="false" ht="15" hidden="false" customHeight="false" outlineLevel="0" collapsed="false">
      <c r="A6" s="13" t="s">
        <v>162</v>
      </c>
      <c r="B6" s="11"/>
      <c r="C6" s="7" t="str">
        <f aca="false">""</f>
        <v/>
      </c>
      <c r="D6" s="7" t="n">
        <f aca="false">IFERROR(D5/C5-1,"")</f>
        <v>0.0344154965776586</v>
      </c>
      <c r="E6" s="7" t="n">
        <f aca="false">IFERROR(E5/D5-1,"")</f>
        <v>-0.0304837701483716</v>
      </c>
      <c r="F6" s="7" t="n">
        <f aca="false">IFERROR(F5/E5-1,"")</f>
        <v>0.0158337503422621</v>
      </c>
      <c r="G6" s="7" t="n">
        <f aca="false">IFERROR(G5/F5-1,"")</f>
        <v>0.0324910705987014</v>
      </c>
      <c r="H6" s="7" t="n">
        <f aca="false">H5/G5-1</f>
        <v>0.0394956853169171</v>
      </c>
      <c r="I6" s="7" t="n">
        <f aca="false">I5/H5-1</f>
        <v>0.0193985412556927</v>
      </c>
      <c r="J6" s="7" t="n">
        <f aca="false">J5/I5-1</f>
        <v>0.0306946361806852</v>
      </c>
      <c r="K6" s="7" t="n">
        <f aca="false">K5/J5-1</f>
        <v>0.0307334403847195</v>
      </c>
      <c r="L6" s="7" t="n">
        <f aca="false">L5/K5-1</f>
        <v>0.0287442160294951</v>
      </c>
    </row>
    <row r="7" customFormat="false" ht="15" hidden="false" customHeight="false" outlineLevel="0" collapsed="false">
      <c r="A7" s="13" t="s">
        <v>169</v>
      </c>
      <c r="B7" s="11"/>
      <c r="C7" s="20" t="n">
        <v>-510942</v>
      </c>
      <c r="D7" s="20" t="n">
        <v>-575954</v>
      </c>
      <c r="E7" s="20" t="n">
        <v>-517446</v>
      </c>
      <c r="F7" s="20" t="n">
        <v>-481704</v>
      </c>
      <c r="G7" s="20" t="n">
        <v>-493630</v>
      </c>
      <c r="H7" s="27" t="n">
        <f aca="false">-H5*(1-Assumptions!H31)</f>
        <v>-509236.462288534</v>
      </c>
      <c r="I7" s="27" t="n">
        <f aca="false">-I5*(1-Assumptions!I31)</f>
        <v>-523234.866389007</v>
      </c>
      <c r="J7" s="27" t="n">
        <f aca="false">-J5*(1-Assumptions!J31)</f>
        <v>-539295.370249867</v>
      </c>
      <c r="K7" s="27" t="n">
        <f aca="false">-K5*(1-Assumptions!K31)</f>
        <v>-555869.772361197</v>
      </c>
      <c r="L7" s="27" t="n">
        <f aca="false">-L5*(1-Assumptions!L31)</f>
        <v>-571847.813182213</v>
      </c>
    </row>
    <row r="8" customFormat="false" ht="15" hidden="false" customHeight="false" outlineLevel="0" collapsed="false">
      <c r="A8" s="2" t="s">
        <v>170</v>
      </c>
      <c r="B8" s="11"/>
      <c r="C8" s="19" t="n">
        <f aca="false">C5+C7</f>
        <v>228318</v>
      </c>
      <c r="D8" s="19" t="n">
        <f aca="false">D5+D7</f>
        <v>188748</v>
      </c>
      <c r="E8" s="19" t="n">
        <f aca="false">E5+E7</f>
        <v>223945</v>
      </c>
      <c r="F8" s="19" t="n">
        <f aca="false">F5+F7</f>
        <v>271426</v>
      </c>
      <c r="G8" s="19" t="n">
        <f aca="false">G5+G7</f>
        <v>283970</v>
      </c>
      <c r="H8" s="19" t="n">
        <f aca="false">H5+H7</f>
        <v>299075.382613901</v>
      </c>
      <c r="I8" s="19" t="n">
        <f aca="false">I5+I7</f>
        <v>300757.049184233</v>
      </c>
      <c r="J8" s="19" t="n">
        <f aca="false">J5+J7</f>
        <v>309988.677387719</v>
      </c>
      <c r="K8" s="19" t="n">
        <f aca="false">K5+K7</f>
        <v>319515.695924152</v>
      </c>
      <c r="L8" s="19" t="n">
        <f aca="false">L5+L7</f>
        <v>328699.924112611</v>
      </c>
    </row>
    <row r="9" customFormat="false" ht="15" hidden="false" customHeight="false" outlineLevel="0" collapsed="false">
      <c r="A9" s="13" t="s">
        <v>171</v>
      </c>
      <c r="B9" s="11"/>
      <c r="C9" s="7" t="n">
        <f aca="false">C8/C5</f>
        <v>0.30884668452236</v>
      </c>
      <c r="D9" s="7" t="n">
        <f aca="false">D8/D5</f>
        <v>0.246825560806693</v>
      </c>
      <c r="E9" s="7" t="n">
        <f aca="false">E8/E5</f>
        <v>0.302060586114479</v>
      </c>
      <c r="F9" s="7" t="n">
        <f aca="false">F8/F5</f>
        <v>0.360397275370786</v>
      </c>
      <c r="G9" s="7" t="n">
        <f aca="false">G8/G5</f>
        <v>0.365187757201646</v>
      </c>
      <c r="H9" s="7" t="n">
        <f aca="false">H8/H5</f>
        <v>0.37</v>
      </c>
      <c r="I9" s="7" t="n">
        <f aca="false">I8/I5</f>
        <v>0.365</v>
      </c>
      <c r="J9" s="7" t="n">
        <f aca="false">J8/J5</f>
        <v>0.365</v>
      </c>
      <c r="K9" s="7" t="n">
        <f aca="false">K8/K5</f>
        <v>0.365</v>
      </c>
      <c r="L9" s="7" t="n">
        <f aca="false">L8/L5</f>
        <v>0.365</v>
      </c>
    </row>
    <row r="10" customFormat="false" ht="15" hidden="false" customHeight="false" outlineLevel="0" collapsed="false">
      <c r="A10" s="13" t="s">
        <v>172</v>
      </c>
      <c r="B10" s="11"/>
      <c r="C10" s="20" t="n">
        <v>-136590</v>
      </c>
      <c r="D10" s="20" t="n">
        <v>-160502</v>
      </c>
      <c r="E10" s="20" t="n">
        <v>-157776</v>
      </c>
      <c r="F10" s="20" t="n">
        <v>-164388</v>
      </c>
      <c r="G10" s="20" t="n">
        <v>-179266</v>
      </c>
      <c r="H10" s="27" t="n">
        <f aca="false">-H5*Assumptions!H35</f>
        <v>-188336.659862267</v>
      </c>
      <c r="I10" s="27" t="n">
        <f aca="false">-I5*Assumptions!I35</f>
        <v>-189518.140581845</v>
      </c>
      <c r="J10" s="27" t="n">
        <f aca="false">-J5*Assumptions!J35</f>
        <v>-193636.76286137</v>
      </c>
      <c r="K10" s="27" t="n">
        <f aca="false">-K5*Assumptions!K35</f>
        <v>-197837.115832489</v>
      </c>
      <c r="L10" s="27" t="n">
        <f aca="false">-L5*Assumptions!L35</f>
        <v>-202623.240891335</v>
      </c>
    </row>
    <row r="11" customFormat="false" ht="15" hidden="false" customHeight="false" outlineLevel="0" collapsed="false">
      <c r="A11" s="2" t="s">
        <v>173</v>
      </c>
      <c r="B11" s="11"/>
      <c r="C11" s="19" t="n">
        <f aca="false">C8+C10</f>
        <v>91728</v>
      </c>
      <c r="D11" s="19" t="n">
        <f aca="false">D8+D10</f>
        <v>28246</v>
      </c>
      <c r="E11" s="19" t="n">
        <f aca="false">E8+E10</f>
        <v>66169</v>
      </c>
      <c r="F11" s="19" t="n">
        <f aca="false">F8+F10</f>
        <v>107038</v>
      </c>
      <c r="G11" s="19" t="n">
        <f aca="false">G8+G10</f>
        <v>104704</v>
      </c>
      <c r="H11" s="19" t="n">
        <f aca="false">H8+H10</f>
        <v>110738.722751634</v>
      </c>
      <c r="I11" s="19" t="n">
        <f aca="false">I8+I10</f>
        <v>111238.908602387</v>
      </c>
      <c r="J11" s="19" t="n">
        <f aca="false">J8+J10</f>
        <v>116351.914526349</v>
      </c>
      <c r="K11" s="19" t="n">
        <f aca="false">K8+K10</f>
        <v>121678.580091663</v>
      </c>
      <c r="L11" s="19" t="n">
        <f aca="false">L8+L10</f>
        <v>126076.683221275</v>
      </c>
    </row>
    <row r="12" customFormat="false" ht="15" hidden="false" customHeight="false" outlineLevel="0" collapsed="false">
      <c r="A12" s="13" t="s">
        <v>174</v>
      </c>
      <c r="B12" s="11"/>
      <c r="C12" s="7" t="n">
        <f aca="false">C11/C5</f>
        <v>0.124080837594351</v>
      </c>
      <c r="D12" s="7" t="n">
        <f aca="false">D11/D5</f>
        <v>0.0369372644507272</v>
      </c>
      <c r="E12" s="7" t="n">
        <f aca="false">E11/E5</f>
        <v>0.0892498020612605</v>
      </c>
      <c r="F12" s="7" t="n">
        <f aca="false">F11/F5</f>
        <v>0.142124201665051</v>
      </c>
      <c r="G12" s="7" t="n">
        <f aca="false">G11/G5</f>
        <v>0.134650205761317</v>
      </c>
      <c r="H12" s="7" t="n">
        <f aca="false">H11/H5</f>
        <v>0.137</v>
      </c>
      <c r="I12" s="7" t="n">
        <f aca="false">I11/I5</f>
        <v>0.135</v>
      </c>
      <c r="J12" s="7" t="n">
        <f aca="false">J11/J5</f>
        <v>0.137</v>
      </c>
      <c r="K12" s="7" t="n">
        <f aca="false">K11/K5</f>
        <v>0.139</v>
      </c>
      <c r="L12" s="7" t="n">
        <f aca="false">L11/L5</f>
        <v>0.14</v>
      </c>
    </row>
    <row r="13" customFormat="false" ht="15" hidden="false" customHeight="false" outlineLevel="0" collapsed="false">
      <c r="A13" s="13" t="s">
        <v>175</v>
      </c>
      <c r="B13" s="11"/>
      <c r="C13" s="20" t="n">
        <v>1937</v>
      </c>
      <c r="D13" s="20" t="n">
        <v>3316</v>
      </c>
      <c r="E13" s="20" t="n">
        <v>4643</v>
      </c>
      <c r="F13" s="20" t="n">
        <v>7450</v>
      </c>
      <c r="G13" s="20" t="n">
        <v>6896</v>
      </c>
      <c r="H13" s="27" t="n">
        <f aca="false">Assumptions!$G$73*(BS!G7+BS!G8)</f>
        <v>5239.278</v>
      </c>
      <c r="I13" s="27" t="n">
        <f aca="false">Assumptions!$G$73*(BS!H7+BS!H8)</f>
        <v>5786.36476741175</v>
      </c>
      <c r="J13" s="27" t="n">
        <f aca="false">Assumptions!$G$73*(BS!I7+BS!I8)</f>
        <v>6510.33434286361</v>
      </c>
      <c r="K13" s="27" t="n">
        <f aca="false">Assumptions!$G$73*(BS!J7+BS!J8)</f>
        <v>7237.19871363877</v>
      </c>
      <c r="L13" s="27" t="n">
        <f aca="false">Assumptions!$G$73*(BS!K7+BS!K8)</f>
        <v>7938.27020653075</v>
      </c>
      <c r="M13" s="3" t="s">
        <v>176</v>
      </c>
    </row>
    <row r="14" customFormat="false" ht="15" hidden="false" customHeight="false" outlineLevel="0" collapsed="false">
      <c r="A14" s="13" t="s">
        <v>177</v>
      </c>
      <c r="B14" s="11"/>
      <c r="C14" s="20" t="n">
        <v>-1182</v>
      </c>
      <c r="D14" s="20" t="n">
        <v>-7675</v>
      </c>
      <c r="E14" s="20" t="n">
        <v>-6795</v>
      </c>
      <c r="F14" s="20" t="n">
        <v>-6011</v>
      </c>
      <c r="G14" s="20" t="n">
        <v>-3584</v>
      </c>
      <c r="H14" s="27" t="n">
        <f aca="false">Assumptions!$G$74</f>
        <v>-1200</v>
      </c>
      <c r="I14" s="27" t="n">
        <f aca="false">Assumptions!$G$74</f>
        <v>-1200</v>
      </c>
      <c r="J14" s="27" t="n">
        <f aca="false">Assumptions!$G$74</f>
        <v>-1200</v>
      </c>
      <c r="K14" s="27" t="n">
        <f aca="false">Assumptions!$G$74</f>
        <v>-1200</v>
      </c>
      <c r="L14" s="27" t="n">
        <f aca="false">Assumptions!$G$74</f>
        <v>-1200</v>
      </c>
    </row>
    <row r="15" customFormat="false" ht="15" hidden="false" customHeight="false" outlineLevel="0" collapsed="false">
      <c r="A15" s="2" t="s">
        <v>178</v>
      </c>
      <c r="B15" s="11"/>
      <c r="C15" s="19" t="n">
        <f aca="false">C11+C13+C14</f>
        <v>92483</v>
      </c>
      <c r="D15" s="19" t="n">
        <f aca="false">D11+D13+D14</f>
        <v>23887</v>
      </c>
      <c r="E15" s="19" t="n">
        <f aca="false">E11+E13+E14</f>
        <v>64017</v>
      </c>
      <c r="F15" s="19" t="n">
        <f aca="false">F11+F13+F14</f>
        <v>108477</v>
      </c>
      <c r="G15" s="19" t="n">
        <f aca="false">G11+G13+G14</f>
        <v>108016</v>
      </c>
      <c r="H15" s="19" t="n">
        <f aca="false">H11+H13+H14</f>
        <v>114778.000751634</v>
      </c>
      <c r="I15" s="19" t="n">
        <f aca="false">I11+I13+I14</f>
        <v>115825.273369799</v>
      </c>
      <c r="J15" s="19" t="n">
        <f aca="false">J11+J13+J14</f>
        <v>121662.248869213</v>
      </c>
      <c r="K15" s="19" t="n">
        <f aca="false">K11+K13+K14</f>
        <v>127715.778805302</v>
      </c>
      <c r="L15" s="19" t="n">
        <f aca="false">L11+L13+L14</f>
        <v>132814.953427806</v>
      </c>
    </row>
    <row r="16" customFormat="false" ht="15" hidden="false" customHeight="false" outlineLevel="0" collapsed="false">
      <c r="A16" s="13" t="s">
        <v>179</v>
      </c>
      <c r="B16" s="11"/>
      <c r="C16" s="20" t="n">
        <v>-27146</v>
      </c>
      <c r="D16" s="20" t="n">
        <v>-12316</v>
      </c>
      <c r="E16" s="20" t="n">
        <v>-20402</v>
      </c>
      <c r="F16" s="20" t="n">
        <v>-29274</v>
      </c>
      <c r="G16" s="20" t="n">
        <v>-28579</v>
      </c>
      <c r="H16" s="27" t="n">
        <f aca="false">-H15*Assumptions!$G$70</f>
        <v>-30990.0602029411</v>
      </c>
      <c r="I16" s="27" t="n">
        <f aca="false">-I15*Assumptions!$G$70</f>
        <v>-31272.8238098458</v>
      </c>
      <c r="J16" s="27" t="n">
        <f aca="false">-J15*Assumptions!$G$70</f>
        <v>-32848.8071946875</v>
      </c>
      <c r="K16" s="27" t="n">
        <f aca="false">-K15*Assumptions!$G$70</f>
        <v>-34483.2602774316</v>
      </c>
      <c r="L16" s="27" t="n">
        <f aca="false">-L15*Assumptions!$G$70</f>
        <v>-35860.0374255077</v>
      </c>
    </row>
    <row r="17" customFormat="false" ht="15" hidden="false" customHeight="false" outlineLevel="0" collapsed="false">
      <c r="A17" s="13" t="s">
        <v>180</v>
      </c>
      <c r="B17" s="11"/>
      <c r="C17" s="7" t="n">
        <f aca="false">-C16/C15</f>
        <v>0.293524215261183</v>
      </c>
      <c r="D17" s="7" t="n">
        <f aca="false">-D16/D15</f>
        <v>0.515594256290032</v>
      </c>
      <c r="E17" s="7" t="n">
        <f aca="false">-E16/E15</f>
        <v>0.31869659621663</v>
      </c>
      <c r="F17" s="7" t="n">
        <f aca="false">-F16/F15</f>
        <v>0.269863657733898</v>
      </c>
      <c r="G17" s="7" t="n">
        <f aca="false">-G16/G15</f>
        <v>0.264581173159532</v>
      </c>
      <c r="H17" s="7" t="n">
        <f aca="false">-H16/H15</f>
        <v>0.27</v>
      </c>
      <c r="I17" s="7" t="n">
        <f aca="false">-I16/I15</f>
        <v>0.27</v>
      </c>
      <c r="J17" s="7" t="n">
        <f aca="false">-J16/J15</f>
        <v>0.27</v>
      </c>
      <c r="K17" s="7" t="n">
        <f aca="false">-K16/K15</f>
        <v>0.27</v>
      </c>
      <c r="L17" s="7" t="n">
        <f aca="false">-L16/L15</f>
        <v>0.27</v>
      </c>
    </row>
    <row r="18" customFormat="false" ht="15" hidden="false" customHeight="false" outlineLevel="0" collapsed="false">
      <c r="A18" s="2" t="s">
        <v>181</v>
      </c>
      <c r="B18" s="11"/>
      <c r="C18" s="19" t="n">
        <f aca="false">C15+C16</f>
        <v>65337</v>
      </c>
      <c r="D18" s="19" t="n">
        <f aca="false">D15+D16</f>
        <v>11571</v>
      </c>
      <c r="E18" s="19" t="n">
        <f aca="false">E15+E16</f>
        <v>43615</v>
      </c>
      <c r="F18" s="19" t="n">
        <f aca="false">F15+F16</f>
        <v>79203</v>
      </c>
      <c r="G18" s="19" t="n">
        <f aca="false">G15+G16</f>
        <v>79437</v>
      </c>
      <c r="H18" s="19" t="n">
        <f aca="false">H15+H16</f>
        <v>83787.9405486925</v>
      </c>
      <c r="I18" s="19" t="n">
        <f aca="false">I15+I16</f>
        <v>84552.4495599533</v>
      </c>
      <c r="J18" s="19" t="n">
        <f aca="false">J15+J16</f>
        <v>88813.4416745254</v>
      </c>
      <c r="K18" s="19" t="n">
        <f aca="false">K15+K16</f>
        <v>93232.5185278707</v>
      </c>
      <c r="L18" s="19" t="n">
        <f aca="false">L15+L16</f>
        <v>96954.9160022985</v>
      </c>
    </row>
    <row r="19" customFormat="false" ht="15" hidden="false" customHeight="false" outlineLevel="0" collapsed="false">
      <c r="A19" s="13" t="s">
        <v>182</v>
      </c>
      <c r="B19" s="11"/>
      <c r="C19" s="20" t="n">
        <v>567</v>
      </c>
      <c r="D19" s="20" t="n">
        <v>-134</v>
      </c>
      <c r="E19" s="20" t="n">
        <v>-76</v>
      </c>
      <c r="F19" s="20" t="n">
        <v>-135</v>
      </c>
      <c r="G19" s="20" t="n">
        <v>24</v>
      </c>
      <c r="H19" s="27" t="n">
        <f aca="false">H18*Assumptions!$G$75</f>
        <v>83.7879405486925</v>
      </c>
      <c r="I19" s="27" t="n">
        <f aca="false">I18*Assumptions!$G$75</f>
        <v>84.5524495599534</v>
      </c>
      <c r="J19" s="27" t="n">
        <f aca="false">J18*Assumptions!$G$75</f>
        <v>88.8134416745254</v>
      </c>
      <c r="K19" s="27" t="n">
        <f aca="false">K18*Assumptions!$G$75</f>
        <v>93.2325185278707</v>
      </c>
      <c r="L19" s="27" t="n">
        <f aca="false">L18*Assumptions!$G$75</f>
        <v>96.9549160022985</v>
      </c>
    </row>
    <row r="20" customFormat="false" ht="15" hidden="false" customHeight="false" outlineLevel="0" collapsed="false">
      <c r="A20" s="2" t="s">
        <v>183</v>
      </c>
      <c r="B20" s="11"/>
      <c r="C20" s="19" t="n">
        <f aca="false">C18-C19</f>
        <v>64770</v>
      </c>
      <c r="D20" s="19" t="n">
        <f aca="false">D18-D19</f>
        <v>11705</v>
      </c>
      <c r="E20" s="19" t="n">
        <f aca="false">E18-E19</f>
        <v>43691</v>
      </c>
      <c r="F20" s="19" t="n">
        <f aca="false">F18-F19</f>
        <v>79338</v>
      </c>
      <c r="G20" s="19" t="n">
        <f aca="false">G18-G19</f>
        <v>79413</v>
      </c>
      <c r="H20" s="19" t="n">
        <f aca="false">H18-H19</f>
        <v>83704.1526081438</v>
      </c>
      <c r="I20" s="19" t="n">
        <f aca="false">I18-I19</f>
        <v>84467.8971103934</v>
      </c>
      <c r="J20" s="19" t="n">
        <f aca="false">J18-J19</f>
        <v>88724.6282328509</v>
      </c>
      <c r="K20" s="19" t="n">
        <f aca="false">K18-K19</f>
        <v>93139.2860093428</v>
      </c>
      <c r="L20" s="19" t="n">
        <f aca="false">L18-L19</f>
        <v>96857.9610862962</v>
      </c>
    </row>
    <row r="22" customFormat="false" ht="15" hidden="false" customHeight="false" outlineLevel="0" collapsed="false">
      <c r="A22" s="21" t="s">
        <v>184</v>
      </c>
    </row>
    <row r="23" customFormat="false" ht="15" hidden="false" customHeight="false" outlineLevel="0" collapsed="false">
      <c r="A23" s="13" t="s">
        <v>185</v>
      </c>
      <c r="B23" s="11"/>
      <c r="C23" s="16" t="n">
        <v>271.530966</v>
      </c>
      <c r="D23" s="16" t="n">
        <v>271.539104</v>
      </c>
      <c r="E23" s="16" t="n">
        <v>269.484912</v>
      </c>
      <c r="F23" s="16" t="n">
        <v>269.031331</v>
      </c>
      <c r="G23" s="16" t="n">
        <v>264.754263</v>
      </c>
      <c r="H23" s="30" t="n">
        <f aca="false">Assumptions!$D$86-Assumptions!H63/Assumptions!$D$85/2</f>
        <v>257.655511</v>
      </c>
      <c r="I23" s="30" t="n">
        <f aca="false">H23-(Assumptions!H63+Assumptions!I63)/Assumptions!$D$85/2</f>
        <v>257.655511</v>
      </c>
      <c r="J23" s="30" t="n">
        <f aca="false">I23-(Assumptions!I63+Assumptions!J63)/Assumptions!$D$85/2</f>
        <v>257.655511</v>
      </c>
      <c r="K23" s="30" t="n">
        <f aca="false">J23-(Assumptions!J63+Assumptions!K63)/Assumptions!$D$85/2</f>
        <v>257.655511</v>
      </c>
      <c r="L23" s="30" t="n">
        <f aca="false">K23-(Assumptions!K63+Assumptions!L63)/Assumptions!$D$85/2</f>
        <v>257.655511</v>
      </c>
      <c r="M23" s="3" t="s">
        <v>186</v>
      </c>
    </row>
    <row r="24" customFormat="false" ht="15" hidden="false" customHeight="false" outlineLevel="0" collapsed="false">
      <c r="A24" s="2" t="s">
        <v>187</v>
      </c>
      <c r="B24" s="11"/>
      <c r="C24" s="15" t="n">
        <f aca="false">C20/C23</f>
        <v>238.536329591226</v>
      </c>
      <c r="D24" s="15" t="n">
        <f aca="false">D20/D23</f>
        <v>43.106130305269</v>
      </c>
      <c r="E24" s="15" t="n">
        <f aca="false">E20/E23</f>
        <v>162.127815155752</v>
      </c>
      <c r="F24" s="15" t="n">
        <f aca="false">F20/F23</f>
        <v>294.902455060151</v>
      </c>
      <c r="G24" s="15" t="n">
        <f aca="false">G20/G23</f>
        <v>299.949844433666</v>
      </c>
      <c r="H24" s="15" t="n">
        <f aca="false">H20/H23</f>
        <v>324.86847373563</v>
      </c>
      <c r="I24" s="15" t="n">
        <f aca="false">I20/I23</f>
        <v>327.832681639763</v>
      </c>
      <c r="J24" s="15" t="n">
        <f aca="false">J20/J23</f>
        <v>344.353698814736</v>
      </c>
      <c r="K24" s="15" t="n">
        <f aca="false">K20/K23</f>
        <v>361.48765321516</v>
      </c>
      <c r="L24" s="15" t="n">
        <f aca="false">L20/L23</f>
        <v>375.920393514487</v>
      </c>
    </row>
    <row r="25" customFormat="false" ht="15" hidden="false" customHeight="false" outlineLevel="0" collapsed="false">
      <c r="A25" s="13" t="s">
        <v>188</v>
      </c>
      <c r="B25" s="11"/>
      <c r="C25" s="16" t="n">
        <v>72</v>
      </c>
      <c r="D25" s="16" t="n">
        <v>21</v>
      </c>
      <c r="E25" s="16" t="n">
        <v>57</v>
      </c>
      <c r="F25" s="16" t="n">
        <v>110</v>
      </c>
      <c r="G25" s="16" t="n">
        <v>150</v>
      </c>
      <c r="H25" s="30" t="n">
        <f aca="false">H24*Assumptions!$G$76</f>
        <v>162.434236867815</v>
      </c>
      <c r="I25" s="30" t="n">
        <f aca="false">I24*Assumptions!$G$76</f>
        <v>163.916340819881</v>
      </c>
      <c r="J25" s="30" t="n">
        <f aca="false">J24*Assumptions!$G$76</f>
        <v>172.176849407368</v>
      </c>
      <c r="K25" s="30" t="n">
        <f aca="false">K24*Assumptions!$G$76</f>
        <v>180.74382660758</v>
      </c>
      <c r="L25" s="30" t="n">
        <f aca="false">L24*Assumptions!$G$76</f>
        <v>187.960196757243</v>
      </c>
    </row>
    <row r="27" customFormat="false" ht="15" hidden="false" customHeight="false" outlineLevel="0" collapsed="false">
      <c r="A27" s="21" t="s">
        <v>189</v>
      </c>
    </row>
    <row r="28" customFormat="false" ht="15" hidden="false" customHeight="false" outlineLevel="0" collapsed="false">
      <c r="A28" s="13" t="s">
        <v>190</v>
      </c>
      <c r="B28" s="11"/>
      <c r="C28" s="20" t="n">
        <v>21002</v>
      </c>
      <c r="D28" s="20" t="n">
        <v>25889</v>
      </c>
      <c r="E28" s="20" t="n">
        <v>28925</v>
      </c>
      <c r="F28" s="20" t="n">
        <v>29757</v>
      </c>
      <c r="G28" s="20" t="n">
        <v>30465</v>
      </c>
      <c r="H28" s="27" t="n">
        <f aca="false">CF!H10</f>
        <v>31356.7515453366</v>
      </c>
      <c r="I28" s="27" t="n">
        <f aca="false">CF!I10</f>
        <v>31764.6025996314</v>
      </c>
      <c r="J28" s="27" t="n">
        <f aca="false">CF!J10</f>
        <v>32109.0359803543</v>
      </c>
      <c r="K28" s="27" t="n">
        <f aca="false">CF!K10</f>
        <v>32364.9418520816</v>
      </c>
      <c r="L28" s="27" t="n">
        <f aca="false">CF!L10</f>
        <v>32684.8466128633</v>
      </c>
    </row>
    <row r="29" customFormat="false" ht="15" hidden="false" customHeight="false" outlineLevel="0" collapsed="false">
      <c r="A29" s="2" t="s">
        <v>191</v>
      </c>
      <c r="B29" s="11"/>
      <c r="C29" s="19" t="n">
        <f aca="false">C11+C28</f>
        <v>112730</v>
      </c>
      <c r="D29" s="19" t="n">
        <f aca="false">D11+D28</f>
        <v>54135</v>
      </c>
      <c r="E29" s="19" t="n">
        <f aca="false">E11+E28</f>
        <v>95094</v>
      </c>
      <c r="F29" s="19" t="n">
        <f aca="false">F11+F28</f>
        <v>136795</v>
      </c>
      <c r="G29" s="19" t="n">
        <f aca="false">G11+G28</f>
        <v>135169</v>
      </c>
      <c r="H29" s="19" t="n">
        <f aca="false">H11+H28</f>
        <v>142095.47429697</v>
      </c>
      <c r="I29" s="19" t="n">
        <f aca="false">I11+I28</f>
        <v>143003.511202019</v>
      </c>
      <c r="J29" s="19" t="n">
        <f aca="false">J11+J28</f>
        <v>148460.950506704</v>
      </c>
      <c r="K29" s="19" t="n">
        <f aca="false">K11+K28</f>
        <v>154043.521943745</v>
      </c>
      <c r="L29" s="19" t="n">
        <f aca="false">L11+L28</f>
        <v>158761.529834139</v>
      </c>
    </row>
    <row r="30" customFormat="false" ht="15" hidden="false" customHeight="false" outlineLevel="0" collapsed="false">
      <c r="A30" s="13" t="s">
        <v>192</v>
      </c>
      <c r="B30" s="11"/>
      <c r="C30" s="7" t="n">
        <f aca="false">C29/C5</f>
        <v>0.152490328166004</v>
      </c>
      <c r="D30" s="7" t="n">
        <f aca="false">D29/D5</f>
        <v>0.0707922824838957</v>
      </c>
      <c r="E30" s="7" t="n">
        <f aca="false">E29/E5</f>
        <v>0.128264303181452</v>
      </c>
      <c r="F30" s="7" t="n">
        <f aca="false">F29/F5</f>
        <v>0.181635308645254</v>
      </c>
      <c r="G30" s="7" t="n">
        <f aca="false">G29/G5</f>
        <v>0.173828446502058</v>
      </c>
      <c r="H30" s="7" t="n">
        <f aca="false">H29/H5</f>
        <v>0.175792888837502</v>
      </c>
      <c r="I30" s="7" t="n">
        <f aca="false">I29/I5</f>
        <v>0.173549653217815</v>
      </c>
      <c r="J30" s="7" t="n">
        <f aca="false">J29/J5</f>
        <v>0.174807181318983</v>
      </c>
      <c r="K30" s="7" t="n">
        <f aca="false">K29/K5</f>
        <v>0.175972217411235</v>
      </c>
      <c r="L30" s="7" t="n">
        <f aca="false">L29/L5</f>
        <v>0.17629440756916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.71"/>
    <col collapsed="false" customWidth="true" hidden="false" outlineLevel="0" max="12" min="3" style="0" width="11.71"/>
    <col collapsed="false" customWidth="true" hidden="false" outlineLevel="0" max="13" min="13" style="0" width="90.71"/>
  </cols>
  <sheetData>
    <row r="1" customFormat="false" ht="17.35" hidden="false" customHeight="false" outlineLevel="0" collapsed="false">
      <c r="A1" s="1" t="s">
        <v>193</v>
      </c>
    </row>
    <row r="2" customFormat="false" ht="15" hidden="false" customHeight="false" outlineLevel="0" collapsed="false">
      <c r="A2" s="3" t="s">
        <v>194</v>
      </c>
    </row>
    <row r="4" customFormat="false" ht="15" hidden="false" customHeight="false" outlineLevel="0" collapsed="false">
      <c r="A4" s="9" t="s">
        <v>143</v>
      </c>
      <c r="B4" s="9"/>
      <c r="C4" s="10" t="s">
        <v>22</v>
      </c>
      <c r="D4" s="10" t="s">
        <v>23</v>
      </c>
      <c r="E4" s="10" t="s">
        <v>24</v>
      </c>
      <c r="F4" s="10" t="s">
        <v>25</v>
      </c>
      <c r="G4" s="10" t="s">
        <v>26</v>
      </c>
      <c r="H4" s="10" t="s">
        <v>27</v>
      </c>
      <c r="I4" s="10" t="s">
        <v>28</v>
      </c>
      <c r="J4" s="10" t="s">
        <v>29</v>
      </c>
      <c r="K4" s="10" t="s">
        <v>30</v>
      </c>
      <c r="L4" s="10" t="s">
        <v>31</v>
      </c>
      <c r="M4" s="9" t="s">
        <v>32</v>
      </c>
    </row>
    <row r="6" customFormat="false" ht="15" hidden="false" customHeight="false" outlineLevel="0" collapsed="false">
      <c r="A6" s="21" t="s">
        <v>195</v>
      </c>
    </row>
    <row r="7" customFormat="false" ht="15" hidden="false" customHeight="false" outlineLevel="0" collapsed="false">
      <c r="A7" s="13" t="s">
        <v>196</v>
      </c>
      <c r="B7" s="11"/>
      <c r="C7" s="20" t="n">
        <v>71057</v>
      </c>
      <c r="D7" s="20" t="n">
        <v>162720</v>
      </c>
      <c r="E7" s="20" t="n">
        <v>196645</v>
      </c>
      <c r="F7" s="20" t="n">
        <v>253279</v>
      </c>
      <c r="G7" s="20" t="n">
        <v>257385</v>
      </c>
      <c r="H7" s="27" t="n">
        <f aca="false">CF!H35</f>
        <v>287778.709300653</v>
      </c>
      <c r="I7" s="27" t="n">
        <f aca="false">CF!I35</f>
        <v>327999.2412702</v>
      </c>
      <c r="J7" s="27" t="n">
        <f aca="false">CF!J35</f>
        <v>368380.595202154</v>
      </c>
      <c r="K7" s="27" t="n">
        <f aca="false">CF!K35</f>
        <v>407329.011473931</v>
      </c>
      <c r="L7" s="27" t="n">
        <f aca="false">CF!L35</f>
        <v>446706.782176175</v>
      </c>
      <c r="M7" s="3" t="s">
        <v>197</v>
      </c>
    </row>
    <row r="8" customFormat="false" ht="15" hidden="false" customHeight="false" outlineLevel="0" collapsed="false">
      <c r="A8" s="13" t="s">
        <v>132</v>
      </c>
      <c r="B8" s="11"/>
      <c r="C8" s="20" t="n">
        <v>5281</v>
      </c>
      <c r="D8" s="20" t="n">
        <v>6970</v>
      </c>
      <c r="E8" s="20" t="n">
        <v>18561</v>
      </c>
      <c r="F8" s="20" t="n">
        <v>39660</v>
      </c>
      <c r="G8" s="20" t="n">
        <v>33686</v>
      </c>
      <c r="H8" s="27" t="n">
        <f aca="false">G8</f>
        <v>33686</v>
      </c>
      <c r="I8" s="27" t="n">
        <f aca="false">H8</f>
        <v>33686</v>
      </c>
      <c r="J8" s="27" t="n">
        <f aca="false">I8</f>
        <v>33686</v>
      </c>
      <c r="K8" s="27" t="n">
        <f aca="false">J8</f>
        <v>33686</v>
      </c>
      <c r="L8" s="27" t="n">
        <f aca="false">K8</f>
        <v>33686</v>
      </c>
      <c r="M8" s="3" t="s">
        <v>198</v>
      </c>
    </row>
    <row r="9" customFormat="false" ht="15" hidden="false" customHeight="false" outlineLevel="0" collapsed="false">
      <c r="A9" s="13" t="s">
        <v>199</v>
      </c>
      <c r="B9" s="11"/>
      <c r="C9" s="20" t="n">
        <v>117541</v>
      </c>
      <c r="D9" s="20" t="n">
        <v>110884</v>
      </c>
      <c r="E9" s="20" t="n">
        <v>116267</v>
      </c>
      <c r="F9" s="20" t="n">
        <v>105831</v>
      </c>
      <c r="G9" s="20" t="n">
        <v>122018</v>
      </c>
      <c r="H9" s="27" t="n">
        <f aca="false">IS!H5*Assumptions!H39/365</f>
        <v>126229.520984764</v>
      </c>
      <c r="I9" s="27" t="n">
        <f aca="false">IS!I5*Assumptions!I39/365</f>
        <v>128678.189555273</v>
      </c>
      <c r="J9" s="27" t="n">
        <f aca="false">IS!J5*Assumptions!J39/365</f>
        <v>132627.919768061</v>
      </c>
      <c r="K9" s="27" t="n">
        <f aca="false">IS!K5*Assumptions!K39/365</f>
        <v>136704.032033602</v>
      </c>
      <c r="L9" s="27" t="n">
        <f aca="false">IS!L5*Assumptions!L39/365</f>
        <v>140633.482262479</v>
      </c>
    </row>
    <row r="10" customFormat="false" ht="15" hidden="false" customHeight="false" outlineLevel="0" collapsed="false">
      <c r="A10" s="13" t="s">
        <v>200</v>
      </c>
      <c r="B10" s="11"/>
      <c r="C10" s="20" t="n">
        <v>475128</v>
      </c>
      <c r="D10" s="20" t="n">
        <v>453752</v>
      </c>
      <c r="E10" s="20" t="n">
        <v>345491</v>
      </c>
      <c r="F10" s="20" t="n">
        <v>338116</v>
      </c>
      <c r="G10" s="20" t="n">
        <v>375829</v>
      </c>
      <c r="H10" s="27" t="n">
        <f aca="false">-IS!H7*Assumptions!H43/365</f>
        <v>383671.30720369</v>
      </c>
      <c r="I10" s="27" t="n">
        <f aca="false">-IS!I7*Assumptions!I43/365</f>
        <v>384183.408745901</v>
      </c>
      <c r="J10" s="27" t="n">
        <f aca="false">-IS!J7*Assumptions!J43/365</f>
        <v>387110.649330042</v>
      </c>
      <c r="K10" s="27" t="n">
        <f aca="false">-IS!K7*Assumptions!K43/365</f>
        <v>392916.167860791</v>
      </c>
      <c r="L10" s="27" t="n">
        <f aca="false">-IS!L7*Assumptions!L43/365</f>
        <v>399510.116058806</v>
      </c>
    </row>
    <row r="11" customFormat="false" ht="15" hidden="false" customHeight="false" outlineLevel="0" collapsed="false">
      <c r="A11" s="13" t="s">
        <v>201</v>
      </c>
      <c r="B11" s="11"/>
      <c r="C11" s="20" t="n">
        <v>15952</v>
      </c>
      <c r="D11" s="20" t="n">
        <v>19113</v>
      </c>
      <c r="E11" s="20" t="n">
        <v>16671</v>
      </c>
      <c r="F11" s="20" t="n">
        <v>19552</v>
      </c>
      <c r="G11" s="20" t="n">
        <v>19273</v>
      </c>
      <c r="H11" s="27" t="n">
        <f aca="false">IS!H5*Assumptions!H51</f>
        <v>20207.7961225609</v>
      </c>
      <c r="I11" s="27" t="n">
        <f aca="false">IS!I5*Assumptions!I51</f>
        <v>20599.797889331</v>
      </c>
      <c r="J11" s="27" t="n">
        <f aca="false">IS!J5*Assumptions!J51</f>
        <v>21232.1011909397</v>
      </c>
      <c r="K11" s="27" t="n">
        <f aca="false">IS!K5*Assumptions!K51</f>
        <v>21884.6367071337</v>
      </c>
      <c r="L11" s="27" t="n">
        <f aca="false">IS!L5*Assumptions!L51</f>
        <v>22513.6934323706</v>
      </c>
    </row>
    <row r="12" customFormat="false" ht="15" hidden="false" customHeight="false" outlineLevel="0" collapsed="false">
      <c r="A12" s="2" t="s">
        <v>202</v>
      </c>
      <c r="B12" s="11"/>
      <c r="C12" s="19" t="n">
        <f aca="false">SUM(C7:C11)</f>
        <v>684959</v>
      </c>
      <c r="D12" s="19" t="n">
        <f aca="false">SUM(D7:D11)</f>
        <v>753439</v>
      </c>
      <c r="E12" s="19" t="n">
        <f aca="false">SUM(E7:E11)</f>
        <v>693635</v>
      </c>
      <c r="F12" s="19" t="n">
        <f aca="false">SUM(F7:F11)</f>
        <v>756438</v>
      </c>
      <c r="G12" s="19" t="n">
        <f aca="false">SUM(G7:G11)</f>
        <v>808191</v>
      </c>
      <c r="H12" s="19" t="n">
        <f aca="false">SUM(H7:H11)</f>
        <v>851573.333611667</v>
      </c>
      <c r="I12" s="19" t="n">
        <f aca="false">SUM(I7:I11)</f>
        <v>895146.637460706</v>
      </c>
      <c r="J12" s="19" t="n">
        <f aca="false">SUM(J7:J11)</f>
        <v>943037.265491197</v>
      </c>
      <c r="K12" s="19" t="n">
        <f aca="false">SUM(K7:K11)</f>
        <v>992519.848075458</v>
      </c>
      <c r="L12" s="19" t="n">
        <f aca="false">SUM(L7:L11)</f>
        <v>1043050.07392983</v>
      </c>
    </row>
    <row r="13" customFormat="false" ht="15" hidden="false" customHeight="false" outlineLevel="0" collapsed="false">
      <c r="A13" s="13" t="s">
        <v>203</v>
      </c>
      <c r="B13" s="11"/>
      <c r="C13" s="20" t="n">
        <v>243636</v>
      </c>
      <c r="D13" s="20" t="n">
        <v>265638</v>
      </c>
      <c r="E13" s="20" t="n">
        <v>277248</v>
      </c>
      <c r="F13" s="20" t="n">
        <v>266609</v>
      </c>
      <c r="G13" s="20" t="n">
        <v>278067</v>
      </c>
      <c r="H13" s="27" t="n">
        <f aca="false">G13+CF!H38-CF!H8</f>
        <v>281305.995416488</v>
      </c>
      <c r="I13" s="27" t="n">
        <f aca="false">H13+CF!I38-CF!I8</f>
        <v>283160.262972244</v>
      </c>
      <c r="J13" s="27" t="n">
        <f aca="false">I13+CF!J38-CF!J8</f>
        <v>284003.448040228</v>
      </c>
      <c r="K13" s="27" t="n">
        <f aca="false">J13+CF!K38-CF!K8</f>
        <v>285603.462357618</v>
      </c>
      <c r="L13" s="27" t="n">
        <f aca="false">K13+CF!L38-CF!L8</f>
        <v>287859.867951794</v>
      </c>
      <c r="M13" s="3" t="s">
        <v>204</v>
      </c>
    </row>
    <row r="14" customFormat="false" ht="15" hidden="false" customHeight="false" outlineLevel="0" collapsed="false">
      <c r="A14" s="13" t="s">
        <v>205</v>
      </c>
      <c r="B14" s="11"/>
      <c r="C14" s="20" t="n">
        <v>10085</v>
      </c>
      <c r="D14" s="20" t="n">
        <v>10427</v>
      </c>
      <c r="E14" s="20" t="n">
        <v>10206</v>
      </c>
      <c r="F14" s="20" t="n">
        <v>9574</v>
      </c>
      <c r="G14" s="20" t="n">
        <v>9619</v>
      </c>
      <c r="H14" s="27" t="n">
        <f aca="false">G14</f>
        <v>9619</v>
      </c>
      <c r="I14" s="27" t="n">
        <f aca="false">H14</f>
        <v>9619</v>
      </c>
      <c r="J14" s="27" t="n">
        <f aca="false">I14</f>
        <v>9619</v>
      </c>
      <c r="K14" s="27" t="n">
        <f aca="false">J14</f>
        <v>9619</v>
      </c>
      <c r="L14" s="27" t="n">
        <f aca="false">K14</f>
        <v>9619</v>
      </c>
      <c r="M14" s="3" t="s">
        <v>198</v>
      </c>
    </row>
    <row r="15" customFormat="false" ht="15" hidden="false" customHeight="false" outlineLevel="0" collapsed="false">
      <c r="A15" s="13" t="s">
        <v>206</v>
      </c>
      <c r="B15" s="11"/>
      <c r="C15" s="20" t="n">
        <v>68817</v>
      </c>
      <c r="D15" s="20" t="n">
        <v>69847</v>
      </c>
      <c r="E15" s="20" t="n">
        <v>74719</v>
      </c>
      <c r="F15" s="20" t="n">
        <v>73905</v>
      </c>
      <c r="G15" s="20" t="n">
        <v>85308</v>
      </c>
      <c r="H15" s="27" t="n">
        <f aca="false">G15</f>
        <v>85308</v>
      </c>
      <c r="I15" s="27" t="n">
        <f aca="false">H15</f>
        <v>85308</v>
      </c>
      <c r="J15" s="27" t="n">
        <f aca="false">I15</f>
        <v>85308</v>
      </c>
      <c r="K15" s="27" t="n">
        <f aca="false">J15</f>
        <v>85308</v>
      </c>
      <c r="L15" s="27" t="n">
        <f aca="false">K15</f>
        <v>85308</v>
      </c>
      <c r="M15" s="3" t="s">
        <v>198</v>
      </c>
    </row>
    <row r="16" customFormat="false" ht="15" hidden="false" customHeight="false" outlineLevel="0" collapsed="false">
      <c r="A16" s="2" t="s">
        <v>207</v>
      </c>
      <c r="B16" s="11"/>
      <c r="C16" s="19" t="n">
        <f aca="false">SUM(C13:C15)</f>
        <v>322538</v>
      </c>
      <c r="D16" s="19" t="n">
        <f aca="false">SUM(D13:D15)</f>
        <v>345912</v>
      </c>
      <c r="E16" s="19" t="n">
        <f aca="false">SUM(E13:E15)</f>
        <v>362173</v>
      </c>
      <c r="F16" s="19" t="n">
        <f aca="false">SUM(F13:F15)</f>
        <v>350088</v>
      </c>
      <c r="G16" s="19" t="n">
        <f aca="false">SUM(G13:G15)</f>
        <v>372994</v>
      </c>
      <c r="H16" s="19" t="n">
        <f aca="false">SUM(H13:H15)</f>
        <v>376232.995416488</v>
      </c>
      <c r="I16" s="19" t="n">
        <f aca="false">SUM(I13:I15)</f>
        <v>378087.262972244</v>
      </c>
      <c r="J16" s="19" t="n">
        <f aca="false">SUM(J13:J15)</f>
        <v>378930.448040228</v>
      </c>
      <c r="K16" s="19" t="n">
        <f aca="false">SUM(K13:K15)</f>
        <v>380530.462357618</v>
      </c>
      <c r="L16" s="19" t="n">
        <f aca="false">SUM(L13:L15)</f>
        <v>382786.867951794</v>
      </c>
    </row>
    <row r="17" customFormat="false" ht="15" hidden="false" customHeight="false" outlineLevel="0" collapsed="false">
      <c r="A17" s="2" t="s">
        <v>208</v>
      </c>
      <c r="B17" s="11"/>
      <c r="C17" s="19" t="n">
        <f aca="false">C12+C16</f>
        <v>1007497</v>
      </c>
      <c r="D17" s="19" t="n">
        <f aca="false">D12+D16</f>
        <v>1099351</v>
      </c>
      <c r="E17" s="19" t="n">
        <f aca="false">E12+E16</f>
        <v>1055808</v>
      </c>
      <c r="F17" s="19" t="n">
        <f aca="false">F12+F16</f>
        <v>1106526</v>
      </c>
      <c r="G17" s="19" t="n">
        <f aca="false">G12+G16</f>
        <v>1181185</v>
      </c>
      <c r="H17" s="19" t="n">
        <f aca="false">H12+H16</f>
        <v>1227806.32902815</v>
      </c>
      <c r="I17" s="19" t="n">
        <f aca="false">I12+I16</f>
        <v>1273233.90043295</v>
      </c>
      <c r="J17" s="19" t="n">
        <f aca="false">J12+J16</f>
        <v>1321967.71353143</v>
      </c>
      <c r="K17" s="19" t="n">
        <f aca="false">K12+K16</f>
        <v>1373050.31043308</v>
      </c>
      <c r="L17" s="19" t="n">
        <f aca="false">L12+L16</f>
        <v>1425836.94188163</v>
      </c>
    </row>
    <row r="19" customFormat="false" ht="15" hidden="false" customHeight="false" outlineLevel="0" collapsed="false">
      <c r="A19" s="21" t="s">
        <v>209</v>
      </c>
    </row>
    <row r="20" customFormat="false" ht="15" hidden="false" customHeight="false" outlineLevel="0" collapsed="false">
      <c r="A20" s="13" t="s">
        <v>210</v>
      </c>
      <c r="B20" s="11"/>
      <c r="C20" s="20" t="n">
        <v>67274</v>
      </c>
      <c r="D20" s="20" t="n">
        <v>41767</v>
      </c>
      <c r="E20" s="20" t="n">
        <v>49987</v>
      </c>
      <c r="F20" s="20" t="n">
        <v>54628</v>
      </c>
      <c r="G20" s="20" t="n">
        <v>55358</v>
      </c>
      <c r="H20" s="27" t="n">
        <f aca="false">-IS!H7*Assumptions!H47/365</f>
        <v>57201.9039830956</v>
      </c>
      <c r="I20" s="27" t="n">
        <f aca="false">-IS!I7*Assumptions!I47/365</f>
        <v>58774.3274573953</v>
      </c>
      <c r="J20" s="27" t="n">
        <f aca="false">-IS!J7*Assumptions!J47/365</f>
        <v>60578.3840554645</v>
      </c>
      <c r="K20" s="27" t="n">
        <f aca="false">-IS!K7*Assumptions!K47/365</f>
        <v>62440.1662104358</v>
      </c>
      <c r="L20" s="27" t="n">
        <f aca="false">-IS!L7*Assumptions!L47/365</f>
        <v>64234.9598369061</v>
      </c>
    </row>
    <row r="21" customFormat="false" ht="15" hidden="false" customHeight="false" outlineLevel="0" collapsed="false">
      <c r="A21" s="13" t="s">
        <v>211</v>
      </c>
      <c r="B21" s="11"/>
      <c r="C21" s="20" t="n">
        <v>79674</v>
      </c>
      <c r="D21" s="20" t="n">
        <v>186390</v>
      </c>
      <c r="E21" s="20" t="n">
        <v>19891</v>
      </c>
      <c r="F21" s="20" t="n">
        <v>10152</v>
      </c>
      <c r="G21" s="20" t="n">
        <v>2384</v>
      </c>
      <c r="H21" s="27" t="n">
        <f aca="false">G21+CF!H27</f>
        <v>2384</v>
      </c>
      <c r="I21" s="27" t="n">
        <f aca="false">H21+CF!I27</f>
        <v>2384</v>
      </c>
      <c r="J21" s="27" t="n">
        <f aca="false">I21+CF!J27</f>
        <v>2384</v>
      </c>
      <c r="K21" s="27" t="n">
        <f aca="false">J21+CF!K27</f>
        <v>2384</v>
      </c>
      <c r="L21" s="27" t="n">
        <f aca="false">K21+CF!L27</f>
        <v>2384</v>
      </c>
      <c r="M21" s="3" t="s">
        <v>212</v>
      </c>
    </row>
    <row r="22" customFormat="false" ht="15" hidden="false" customHeight="false" outlineLevel="0" collapsed="false">
      <c r="A22" s="13" t="s">
        <v>213</v>
      </c>
      <c r="B22" s="11"/>
      <c r="C22" s="20" t="n">
        <v>23842</v>
      </c>
      <c r="D22" s="20" t="n">
        <v>22339</v>
      </c>
      <c r="E22" s="20" t="n">
        <v>23217</v>
      </c>
      <c r="F22" s="20" t="n">
        <v>22323</v>
      </c>
      <c r="G22" s="20" t="n">
        <v>20030</v>
      </c>
      <c r="H22" s="27" t="n">
        <f aca="false">G22</f>
        <v>20030</v>
      </c>
      <c r="I22" s="27" t="n">
        <f aca="false">H22</f>
        <v>20030</v>
      </c>
      <c r="J22" s="27" t="n">
        <f aca="false">I22</f>
        <v>20030</v>
      </c>
      <c r="K22" s="27" t="n">
        <f aca="false">J22</f>
        <v>20030</v>
      </c>
      <c r="L22" s="27" t="n">
        <f aca="false">K22</f>
        <v>20030</v>
      </c>
      <c r="M22" s="3" t="s">
        <v>198</v>
      </c>
    </row>
    <row r="23" customFormat="false" ht="15" hidden="false" customHeight="false" outlineLevel="0" collapsed="false">
      <c r="A23" s="13" t="s">
        <v>214</v>
      </c>
      <c r="B23" s="11"/>
      <c r="C23" s="20" t="n">
        <v>67329</v>
      </c>
      <c r="D23" s="20" t="n">
        <v>55932</v>
      </c>
      <c r="E23" s="20" t="n">
        <v>69530</v>
      </c>
      <c r="F23" s="20" t="n">
        <v>67478</v>
      </c>
      <c r="G23" s="20" t="n">
        <v>76373</v>
      </c>
      <c r="H23" s="27" t="n">
        <f aca="false">IS!H5*Assumptions!H55</f>
        <v>79214.5608004386</v>
      </c>
      <c r="I23" s="27" t="n">
        <f aca="false">IS!I5*Assumptions!I55</f>
        <v>80751.2077261775</v>
      </c>
      <c r="J23" s="27" t="n">
        <f aca="false">IS!J5*Assumptions!J55</f>
        <v>83229.8366684835</v>
      </c>
      <c r="K23" s="27" t="n">
        <f aca="false">IS!K5*Assumptions!K55</f>
        <v>85787.7758919642</v>
      </c>
      <c r="L23" s="27" t="n">
        <f aca="false">IS!L5*Assumptions!L55</f>
        <v>88253.6782548927</v>
      </c>
    </row>
    <row r="24" customFormat="false" ht="15" hidden="false" customHeight="false" outlineLevel="0" collapsed="false">
      <c r="A24" s="13" t="s">
        <v>215</v>
      </c>
      <c r="B24" s="11"/>
      <c r="C24" s="20" t="n">
        <v>16848</v>
      </c>
      <c r="D24" s="20" t="n">
        <v>17224</v>
      </c>
      <c r="E24" s="20" t="n">
        <v>17977</v>
      </c>
      <c r="F24" s="20" t="n">
        <v>19448</v>
      </c>
      <c r="G24" s="20" t="n">
        <v>22498</v>
      </c>
      <c r="H24" s="27" t="n">
        <f aca="false">G24</f>
        <v>22498</v>
      </c>
      <c r="I24" s="27" t="n">
        <f aca="false">H24</f>
        <v>22498</v>
      </c>
      <c r="J24" s="27" t="n">
        <f aca="false">I24</f>
        <v>22498</v>
      </c>
      <c r="K24" s="27" t="n">
        <f aca="false">J24</f>
        <v>22498</v>
      </c>
      <c r="L24" s="27" t="n">
        <f aca="false">K24</f>
        <v>22498</v>
      </c>
      <c r="M24" s="3" t="s">
        <v>198</v>
      </c>
    </row>
    <row r="25" customFormat="false" ht="15" hidden="false" customHeight="false" outlineLevel="0" collapsed="false">
      <c r="A25" s="2" t="s">
        <v>216</v>
      </c>
      <c r="B25" s="11"/>
      <c r="C25" s="19" t="n">
        <f aca="false">SUM(C20:C24)</f>
        <v>254967</v>
      </c>
      <c r="D25" s="19" t="n">
        <f aca="false">SUM(D20:D24)</f>
        <v>323652</v>
      </c>
      <c r="E25" s="19" t="n">
        <f aca="false">SUM(E20:E24)</f>
        <v>180602</v>
      </c>
      <c r="F25" s="19" t="n">
        <f aca="false">SUM(F20:F24)</f>
        <v>174029</v>
      </c>
      <c r="G25" s="19" t="n">
        <f aca="false">SUM(G20:G24)</f>
        <v>176643</v>
      </c>
      <c r="H25" s="19" t="n">
        <f aca="false">SUM(H20:H24)</f>
        <v>181328.464783534</v>
      </c>
      <c r="I25" s="19" t="n">
        <f aca="false">SUM(I20:I24)</f>
        <v>184437.535183573</v>
      </c>
      <c r="J25" s="19" t="n">
        <f aca="false">SUM(J20:J24)</f>
        <v>188720.220723948</v>
      </c>
      <c r="K25" s="19" t="n">
        <f aca="false">SUM(K20:K24)</f>
        <v>193139.9421024</v>
      </c>
      <c r="L25" s="19" t="n">
        <f aca="false">SUM(L20:L24)</f>
        <v>197400.638091799</v>
      </c>
    </row>
    <row r="27" customFormat="false" ht="15" hidden="false" customHeight="false" outlineLevel="0" collapsed="false">
      <c r="A27" s="21" t="s">
        <v>217</v>
      </c>
    </row>
    <row r="28" customFormat="false" ht="15" hidden="false" customHeight="false" outlineLevel="0" collapsed="false">
      <c r="A28" s="13" t="s">
        <v>218</v>
      </c>
      <c r="B28" s="11"/>
      <c r="C28" s="20" t="n">
        <v>69390</v>
      </c>
      <c r="D28" s="20" t="n">
        <v>69411</v>
      </c>
      <c r="E28" s="20" t="n">
        <v>69412</v>
      </c>
      <c r="F28" s="20" t="n">
        <v>69819</v>
      </c>
      <c r="G28" s="20" t="n">
        <v>69237</v>
      </c>
      <c r="H28" s="27" t="n">
        <f aca="false">G28</f>
        <v>69237</v>
      </c>
      <c r="I28" s="27" t="n">
        <f aca="false">H28</f>
        <v>69237</v>
      </c>
      <c r="J28" s="27" t="n">
        <f aca="false">I28</f>
        <v>69237</v>
      </c>
      <c r="K28" s="27" t="n">
        <f aca="false">J28</f>
        <v>69237</v>
      </c>
      <c r="L28" s="27" t="n">
        <f aca="false">K28</f>
        <v>69237</v>
      </c>
    </row>
    <row r="29" customFormat="false" ht="15" hidden="false" customHeight="false" outlineLevel="0" collapsed="false">
      <c r="A29" s="13" t="s">
        <v>219</v>
      </c>
      <c r="B29" s="11"/>
      <c r="C29" s="20" t="n">
        <v>640577</v>
      </c>
      <c r="D29" s="20" t="n">
        <v>629314</v>
      </c>
      <c r="E29" s="20" t="n">
        <v>669359</v>
      </c>
      <c r="F29" s="20" t="n">
        <v>732556</v>
      </c>
      <c r="G29" s="20" t="n">
        <v>779488</v>
      </c>
      <c r="H29" s="27" t="n">
        <f aca="false">G29+IS!H20+CF!H24</f>
        <v>821340.076304072</v>
      </c>
      <c r="I29" s="27" t="n">
        <f aca="false">H29+IS!I20+CF!I24</f>
        <v>863574.024859269</v>
      </c>
      <c r="J29" s="27" t="n">
        <f aca="false">I29+IS!J20+CF!J24</f>
        <v>907936.338975694</v>
      </c>
      <c r="K29" s="27" t="n">
        <f aca="false">J29+IS!K20+CF!K24</f>
        <v>954505.981980366</v>
      </c>
      <c r="L29" s="27" t="n">
        <f aca="false">K29+IS!L20+CF!L24</f>
        <v>1002934.96252351</v>
      </c>
    </row>
    <row r="30" customFormat="false" ht="15" hidden="false" customHeight="false" outlineLevel="0" collapsed="false">
      <c r="A30" s="13" t="s">
        <v>220</v>
      </c>
      <c r="B30" s="11"/>
      <c r="C30" s="20" t="n">
        <v>-11540</v>
      </c>
      <c r="D30" s="20" t="n">
        <v>-11528</v>
      </c>
      <c r="E30" s="20" t="n">
        <v>-21501</v>
      </c>
      <c r="F30" s="20" t="n">
        <v>-21470</v>
      </c>
      <c r="G30" s="20" t="n">
        <v>-76727</v>
      </c>
      <c r="H30" s="27" t="n">
        <f aca="false">G30+CF!H25</f>
        <v>-76727</v>
      </c>
      <c r="I30" s="27" t="n">
        <f aca="false">H30+CF!I25</f>
        <v>-76727</v>
      </c>
      <c r="J30" s="27" t="n">
        <f aca="false">I30+CF!J25</f>
        <v>-76727</v>
      </c>
      <c r="K30" s="27" t="n">
        <f aca="false">J30+CF!K25</f>
        <v>-76727</v>
      </c>
      <c r="L30" s="27" t="n">
        <f aca="false">K30+CF!L25</f>
        <v>-76727</v>
      </c>
    </row>
    <row r="31" customFormat="false" ht="15" hidden="false" customHeight="false" outlineLevel="0" collapsed="false">
      <c r="A31" s="13" t="s">
        <v>221</v>
      </c>
      <c r="B31" s="11"/>
      <c r="C31" s="20" t="n">
        <v>47917</v>
      </c>
      <c r="D31" s="20" t="n">
        <v>82050</v>
      </c>
      <c r="E31" s="20" t="n">
        <v>150886</v>
      </c>
      <c r="F31" s="20" t="n">
        <v>145101</v>
      </c>
      <c r="G31" s="20" t="n">
        <v>225342</v>
      </c>
      <c r="H31" s="27" t="n">
        <f aca="false">G31</f>
        <v>225342</v>
      </c>
      <c r="I31" s="27" t="n">
        <f aca="false">H31</f>
        <v>225342</v>
      </c>
      <c r="J31" s="27" t="n">
        <f aca="false">I31</f>
        <v>225342</v>
      </c>
      <c r="K31" s="27" t="n">
        <f aca="false">J31</f>
        <v>225342</v>
      </c>
      <c r="L31" s="27" t="n">
        <f aca="false">K31</f>
        <v>225342</v>
      </c>
      <c r="M31" s="3" t="s">
        <v>222</v>
      </c>
    </row>
    <row r="32" customFormat="false" ht="15" hidden="false" customHeight="false" outlineLevel="0" collapsed="false">
      <c r="A32" s="2" t="s">
        <v>223</v>
      </c>
      <c r="B32" s="11"/>
      <c r="C32" s="19" t="n">
        <f aca="false">SUM(C28:C31)</f>
        <v>746344</v>
      </c>
      <c r="D32" s="19" t="n">
        <f aca="false">SUM(D28:D31)</f>
        <v>769247</v>
      </c>
      <c r="E32" s="19" t="n">
        <f aca="false">SUM(E28:E31)</f>
        <v>868156</v>
      </c>
      <c r="F32" s="19" t="n">
        <f aca="false">SUM(F28:F31)</f>
        <v>926006</v>
      </c>
      <c r="G32" s="19" t="n">
        <f aca="false">SUM(G28:G31)</f>
        <v>997340</v>
      </c>
      <c r="H32" s="19" t="n">
        <f aca="false">SUM(H28:H31)</f>
        <v>1039192.07630407</v>
      </c>
      <c r="I32" s="19" t="n">
        <f aca="false">SUM(I28:I31)</f>
        <v>1081426.02485927</v>
      </c>
      <c r="J32" s="19" t="n">
        <f aca="false">SUM(J28:J31)</f>
        <v>1125788.33897569</v>
      </c>
      <c r="K32" s="19" t="n">
        <f aca="false">SUM(K28:K31)</f>
        <v>1172357.98198037</v>
      </c>
      <c r="L32" s="19" t="n">
        <f aca="false">SUM(L28:L31)</f>
        <v>1220786.96252351</v>
      </c>
    </row>
    <row r="33" customFormat="false" ht="15" hidden="false" customHeight="false" outlineLevel="0" collapsed="false">
      <c r="A33" s="13" t="s">
        <v>224</v>
      </c>
      <c r="B33" s="11"/>
      <c r="C33" s="20" t="n">
        <v>6186</v>
      </c>
      <c r="D33" s="20" t="n">
        <v>6452</v>
      </c>
      <c r="E33" s="20" t="n">
        <v>7050</v>
      </c>
      <c r="F33" s="20" t="n">
        <v>6490</v>
      </c>
      <c r="G33" s="20" t="n">
        <v>7201</v>
      </c>
      <c r="H33" s="27" t="n">
        <f aca="false">G33+IS!H19</f>
        <v>7284.78794054869</v>
      </c>
      <c r="I33" s="27" t="n">
        <f aca="false">H33+IS!I19</f>
        <v>7369.34039010865</v>
      </c>
      <c r="J33" s="27" t="n">
        <f aca="false">I33+IS!J19</f>
        <v>7458.15383178317</v>
      </c>
      <c r="K33" s="27" t="n">
        <f aca="false">J33+IS!K19</f>
        <v>7551.38635031104</v>
      </c>
      <c r="L33" s="27" t="n">
        <f aca="false">K33+IS!L19</f>
        <v>7648.34126631334</v>
      </c>
    </row>
    <row r="34" customFormat="false" ht="15" hidden="false" customHeight="false" outlineLevel="0" collapsed="false">
      <c r="A34" s="2" t="s">
        <v>225</v>
      </c>
      <c r="B34" s="11"/>
      <c r="C34" s="19" t="n">
        <f aca="false">C32+C33</f>
        <v>752530</v>
      </c>
      <c r="D34" s="19" t="n">
        <f aca="false">D32+D33</f>
        <v>775699</v>
      </c>
      <c r="E34" s="19" t="n">
        <f aca="false">E32+E33</f>
        <v>875206</v>
      </c>
      <c r="F34" s="19" t="n">
        <f aca="false">F32+F33</f>
        <v>932496</v>
      </c>
      <c r="G34" s="19" t="n">
        <f aca="false">G32+G33</f>
        <v>1004541</v>
      </c>
      <c r="H34" s="19" t="n">
        <f aca="false">H32+H33</f>
        <v>1046476.86424462</v>
      </c>
      <c r="I34" s="19" t="n">
        <f aca="false">I32+I33</f>
        <v>1088795.36524938</v>
      </c>
      <c r="J34" s="19" t="n">
        <f aca="false">J32+J33</f>
        <v>1133246.49280748</v>
      </c>
      <c r="K34" s="19" t="n">
        <f aca="false">K32+K33</f>
        <v>1179909.36833068</v>
      </c>
      <c r="L34" s="19" t="n">
        <f aca="false">L32+L33</f>
        <v>1228435.30378983</v>
      </c>
    </row>
    <row r="35" customFormat="false" ht="15" hidden="false" customHeight="false" outlineLevel="0" collapsed="false">
      <c r="A35" s="2" t="s">
        <v>226</v>
      </c>
      <c r="B35" s="11"/>
      <c r="C35" s="19" t="n">
        <f aca="false">C25+C34</f>
        <v>1007497</v>
      </c>
      <c r="D35" s="19" t="n">
        <f aca="false">D25+D34</f>
        <v>1099351</v>
      </c>
      <c r="E35" s="19" t="n">
        <f aca="false">E25+E34</f>
        <v>1055808</v>
      </c>
      <c r="F35" s="19" t="n">
        <f aca="false">F25+F34</f>
        <v>1106525</v>
      </c>
      <c r="G35" s="19" t="n">
        <f aca="false">G25+G34</f>
        <v>1181184</v>
      </c>
      <c r="H35" s="19" t="n">
        <f aca="false">H25+H34</f>
        <v>1227805.32902815</v>
      </c>
      <c r="I35" s="19" t="n">
        <f aca="false">I25+I34</f>
        <v>1273232.90043295</v>
      </c>
      <c r="J35" s="19" t="n">
        <f aca="false">J25+J34</f>
        <v>1321966.71353143</v>
      </c>
      <c r="K35" s="19" t="n">
        <f aca="false">K25+K34</f>
        <v>1373049.31043308</v>
      </c>
      <c r="L35" s="19" t="n">
        <f aca="false">L25+L34</f>
        <v>1425835.94188163</v>
      </c>
    </row>
    <row r="36" customFormat="false" ht="15" hidden="false" customHeight="false" outlineLevel="0" collapsed="false">
      <c r="A36" s="13" t="s">
        <v>227</v>
      </c>
      <c r="B36" s="11"/>
      <c r="C36" s="27" t="n">
        <f aca="false">ROUND(C17-C35,3)</f>
        <v>0</v>
      </c>
      <c r="D36" s="27" t="n">
        <f aca="false">ROUND(D17-D35,3)</f>
        <v>0</v>
      </c>
      <c r="E36" s="27" t="n">
        <f aca="false">ROUND(E17-E35,3)</f>
        <v>0</v>
      </c>
      <c r="F36" s="27" t="n">
        <f aca="false">ROUND(F17-F35,3)</f>
        <v>1</v>
      </c>
      <c r="G36" s="27" t="n">
        <f aca="false">ROUND(G17-G35,3)</f>
        <v>1</v>
      </c>
      <c r="H36" s="27" t="n">
        <f aca="false">ROUND(H17-H35,3)</f>
        <v>1</v>
      </c>
      <c r="I36" s="27" t="n">
        <f aca="false">ROUND(I17-I35,3)</f>
        <v>1</v>
      </c>
      <c r="J36" s="27" t="n">
        <f aca="false">ROUND(J17-J35,3)</f>
        <v>1</v>
      </c>
      <c r="K36" s="27" t="n">
        <f aca="false">ROUND(K17-K35,3)</f>
        <v>1</v>
      </c>
      <c r="L36" s="27" t="n">
        <f aca="false">ROUND(L17-L35,3)</f>
        <v>1</v>
      </c>
      <c r="M36" s="3" t="s">
        <v>228</v>
      </c>
    </row>
    <row r="38" customFormat="false" ht="15" hidden="false" customHeight="false" outlineLevel="0" collapsed="false">
      <c r="A38" s="21" t="s">
        <v>189</v>
      </c>
    </row>
    <row r="39" customFormat="false" ht="15" hidden="false" customHeight="false" outlineLevel="0" collapsed="false">
      <c r="A39" s="13" t="s">
        <v>229</v>
      </c>
      <c r="B39" s="11"/>
      <c r="C39" s="27" t="n">
        <f aca="false">C9+C10+C11-C20-C23</f>
        <v>474018</v>
      </c>
      <c r="D39" s="27" t="n">
        <f aca="false">D9+D10+D11-D20-D23</f>
        <v>486050</v>
      </c>
      <c r="E39" s="27" t="n">
        <f aca="false">E9+E10+E11-E20-E23</f>
        <v>358912</v>
      </c>
      <c r="F39" s="27" t="n">
        <f aca="false">F9+F10+F11-F20-F23</f>
        <v>341393</v>
      </c>
      <c r="G39" s="27" t="n">
        <f aca="false">G9+G10+G11-G20-G23</f>
        <v>385389</v>
      </c>
      <c r="H39" s="27" t="n">
        <f aca="false">H9+H10+H11-H20-H23</f>
        <v>393692.159527481</v>
      </c>
      <c r="I39" s="27" t="n">
        <f aca="false">I9+I10+I11-I20-I23</f>
        <v>393935.861006932</v>
      </c>
      <c r="J39" s="27" t="n">
        <f aca="false">J9+J10+J11-J20-J23</f>
        <v>397162.449565095</v>
      </c>
      <c r="K39" s="27" t="n">
        <f aca="false">K9+K10+K11-K20-K23</f>
        <v>403276.894499127</v>
      </c>
      <c r="L39" s="27" t="n">
        <f aca="false">L9+L10+L11-L20-L23</f>
        <v>410168.653661858</v>
      </c>
    </row>
    <row r="40" customFormat="false" ht="15" hidden="false" customHeight="false" outlineLevel="0" collapsed="false">
      <c r="A40" s="13" t="s">
        <v>230</v>
      </c>
      <c r="B40" s="11"/>
      <c r="C40" s="27" t="n">
        <f aca="false">C7+C8-C21-C22</f>
        <v>-27178</v>
      </c>
      <c r="D40" s="27" t="n">
        <f aca="false">D7+D8-D21-D22</f>
        <v>-39039</v>
      </c>
      <c r="E40" s="27" t="n">
        <f aca="false">E7+E8-E21-E22</f>
        <v>172098</v>
      </c>
      <c r="F40" s="27" t="n">
        <f aca="false">F7+F8-F21-F22</f>
        <v>260464</v>
      </c>
      <c r="G40" s="27" t="n">
        <f aca="false">G7+G8-G21-G22</f>
        <v>268657</v>
      </c>
      <c r="H40" s="27" t="n">
        <f aca="false">H7+H8-H21-H22</f>
        <v>299050.709300653</v>
      </c>
      <c r="I40" s="27" t="n">
        <f aca="false">I7+I8-I21-I22</f>
        <v>339271.2412702</v>
      </c>
      <c r="J40" s="27" t="n">
        <f aca="false">J7+J8-J21-J22</f>
        <v>379652.595202154</v>
      </c>
      <c r="K40" s="27" t="n">
        <f aca="false">K7+K8-K21-K22</f>
        <v>418601.011473931</v>
      </c>
      <c r="L40" s="27" t="n">
        <f aca="false">L7+L8-L21-L22</f>
        <v>457978.782176175</v>
      </c>
    </row>
    <row r="41" customFormat="false" ht="15" hidden="false" customHeight="false" outlineLevel="0" collapsed="false">
      <c r="A41" s="13" t="s">
        <v>231</v>
      </c>
      <c r="B41" s="11"/>
      <c r="C41" s="7" t="str">
        <f aca="false">""</f>
        <v/>
      </c>
      <c r="D41" s="7" t="n">
        <f aca="false">IS!D20/AVERAGE(D32,C32)</f>
        <v>0.0154461196985202</v>
      </c>
      <c r="E41" s="7" t="n">
        <f aca="false">IS!E20/AVERAGE(E32,D32)</f>
        <v>0.0533662146704263</v>
      </c>
      <c r="F41" s="7" t="n">
        <f aca="false">IS!F20/AVERAGE(F32,E32)</f>
        <v>0.0884401742986419</v>
      </c>
      <c r="G41" s="7" t="n">
        <f aca="false">IS!G20/AVERAGE(G32,F32)</f>
        <v>0.0825779656910405</v>
      </c>
      <c r="H41" s="7" t="n">
        <f aca="false">IS!H20/AVERAGE(H32,G32)</f>
        <v>0.0822026361205676</v>
      </c>
      <c r="I41" s="7" t="n">
        <f aca="false">IS!I20/AVERAGE(I32,H32)</f>
        <v>0.0796634689330017</v>
      </c>
      <c r="J41" s="7" t="n">
        <f aca="false">IS!J20/AVERAGE(J32,I32)</f>
        <v>0.0803951167467892</v>
      </c>
      <c r="K41" s="7" t="n">
        <f aca="false">IS!K20/AVERAGE(K32,J32)</f>
        <v>0.0810560103680392</v>
      </c>
      <c r="L41" s="7" t="n">
        <f aca="false">IS!L20/AVERAGE(L32,K32)</f>
        <v>0.0809461719472873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.71"/>
    <col collapsed="false" customWidth="true" hidden="false" outlineLevel="0" max="12" min="3" style="0" width="11.71"/>
    <col collapsed="false" customWidth="true" hidden="false" outlineLevel="0" max="13" min="13" style="0" width="90.71"/>
  </cols>
  <sheetData>
    <row r="1" customFormat="false" ht="17.35" hidden="false" customHeight="false" outlineLevel="0" collapsed="false">
      <c r="A1" s="1" t="s">
        <v>232</v>
      </c>
    </row>
    <row r="2" customFormat="false" ht="15" hidden="false" customHeight="false" outlineLevel="0" collapsed="false">
      <c r="A2" s="3" t="s">
        <v>233</v>
      </c>
    </row>
    <row r="4" customFormat="false" ht="15" hidden="false" customHeight="false" outlineLevel="0" collapsed="false">
      <c r="A4" s="9" t="s">
        <v>143</v>
      </c>
      <c r="B4" s="9"/>
      <c r="C4" s="10" t="s">
        <v>22</v>
      </c>
      <c r="D4" s="10" t="s">
        <v>23</v>
      </c>
      <c r="E4" s="10" t="s">
        <v>24</v>
      </c>
      <c r="F4" s="10" t="s">
        <v>25</v>
      </c>
      <c r="G4" s="10" t="s">
        <v>26</v>
      </c>
      <c r="H4" s="10" t="s">
        <v>27</v>
      </c>
      <c r="I4" s="10" t="s">
        <v>28</v>
      </c>
      <c r="J4" s="10" t="s">
        <v>29</v>
      </c>
      <c r="K4" s="10" t="s">
        <v>30</v>
      </c>
      <c r="L4" s="10" t="s">
        <v>31</v>
      </c>
      <c r="M4" s="9" t="s">
        <v>32</v>
      </c>
    </row>
    <row r="6" customFormat="false" ht="15" hidden="false" customHeight="false" outlineLevel="0" collapsed="false">
      <c r="A6" s="21" t="s">
        <v>234</v>
      </c>
    </row>
    <row r="7" customFormat="false" ht="15" hidden="false" customHeight="false" outlineLevel="0" collapsed="false">
      <c r="A7" s="13" t="s">
        <v>181</v>
      </c>
      <c r="B7" s="11"/>
      <c r="C7" s="20" t="n">
        <v>65337</v>
      </c>
      <c r="D7" s="20" t="n">
        <v>11571</v>
      </c>
      <c r="E7" s="20" t="n">
        <v>43615</v>
      </c>
      <c r="F7" s="20" t="n">
        <v>79203</v>
      </c>
      <c r="G7" s="20" t="n">
        <v>79438</v>
      </c>
      <c r="H7" s="27" t="n">
        <f aca="false">IS!H18</f>
        <v>83787.9405486925</v>
      </c>
      <c r="I7" s="27" t="n">
        <f aca="false">IS!I18</f>
        <v>84552.4495599533</v>
      </c>
      <c r="J7" s="27" t="n">
        <f aca="false">IS!J18</f>
        <v>88813.4416745254</v>
      </c>
      <c r="K7" s="27" t="n">
        <f aca="false">IS!K18</f>
        <v>93232.5185278707</v>
      </c>
      <c r="L7" s="27" t="n">
        <f aca="false">IS!L18</f>
        <v>96954.9160022985</v>
      </c>
    </row>
    <row r="8" customFormat="false" ht="15" hidden="false" customHeight="false" outlineLevel="0" collapsed="false">
      <c r="A8" s="13" t="s">
        <v>235</v>
      </c>
      <c r="B8" s="11"/>
      <c r="H8" s="27" t="n">
        <f aca="false">Assumptions!$G$71*BS!G13</f>
        <v>25860.231</v>
      </c>
      <c r="I8" s="27" t="n">
        <f aca="false">Assumptions!$G$71*BS!H13</f>
        <v>26161.4575737334</v>
      </c>
      <c r="J8" s="27" t="n">
        <f aca="false">Assumptions!$G$71*BS!I13</f>
        <v>26333.9044564187</v>
      </c>
      <c r="K8" s="27" t="n">
        <f aca="false">Assumptions!$G$71*BS!J13</f>
        <v>26412.3206677412</v>
      </c>
      <c r="L8" s="27" t="n">
        <f aca="false">Assumptions!$G$71*BS!K13</f>
        <v>26561.1219992585</v>
      </c>
      <c r="M8" s="3" t="s">
        <v>236</v>
      </c>
    </row>
    <row r="9" customFormat="false" ht="15" hidden="false" customHeight="false" outlineLevel="0" collapsed="false">
      <c r="A9" s="13" t="s">
        <v>237</v>
      </c>
      <c r="B9" s="11"/>
      <c r="H9" s="27" t="n">
        <f aca="false">IS!H5*Assumptions!$G$72</f>
        <v>5496.52054533656</v>
      </c>
      <c r="I9" s="27" t="n">
        <f aca="false">IS!I5*Assumptions!$G$72</f>
        <v>5603.14502589803</v>
      </c>
      <c r="J9" s="27" t="n">
        <f aca="false">IS!J5*Assumptions!$G$72</f>
        <v>5775.13152393559</v>
      </c>
      <c r="K9" s="27" t="n">
        <f aca="false">IS!K5*Assumptions!$G$72</f>
        <v>5952.62118434037</v>
      </c>
      <c r="L9" s="27" t="n">
        <f aca="false">IS!L5*Assumptions!$G$72</f>
        <v>6123.7246136048</v>
      </c>
    </row>
    <row r="10" customFormat="false" ht="15" hidden="false" customHeight="false" outlineLevel="0" collapsed="false">
      <c r="A10" s="13" t="s">
        <v>238</v>
      </c>
      <c r="B10" s="11"/>
      <c r="C10" s="20" t="n">
        <v>21002</v>
      </c>
      <c r="D10" s="20" t="n">
        <v>25889</v>
      </c>
      <c r="E10" s="20" t="n">
        <v>28925</v>
      </c>
      <c r="F10" s="20" t="n">
        <v>29757</v>
      </c>
      <c r="G10" s="20" t="n">
        <v>30465</v>
      </c>
      <c r="H10" s="27" t="n">
        <f aca="false">H8+H9</f>
        <v>31356.7515453366</v>
      </c>
      <c r="I10" s="27" t="n">
        <f aca="false">I8+I9</f>
        <v>31764.6025996314</v>
      </c>
      <c r="J10" s="27" t="n">
        <f aca="false">J8+J9</f>
        <v>32109.0359803543</v>
      </c>
      <c r="K10" s="27" t="n">
        <f aca="false">K8+K9</f>
        <v>32364.9418520816</v>
      </c>
      <c r="L10" s="27" t="n">
        <f aca="false">L8+L9</f>
        <v>32684.8466128633</v>
      </c>
    </row>
    <row r="11" customFormat="false" ht="15" hidden="false" customHeight="false" outlineLevel="0" collapsed="false">
      <c r="A11" s="13" t="s">
        <v>239</v>
      </c>
      <c r="B11" s="11"/>
      <c r="C11" s="20" t="n">
        <v>-14153</v>
      </c>
      <c r="D11" s="20" t="n">
        <v>12488</v>
      </c>
      <c r="E11" s="20" t="n">
        <v>4940</v>
      </c>
      <c r="F11" s="20" t="n">
        <v>8792</v>
      </c>
      <c r="G11" s="20" t="n">
        <v>-5563</v>
      </c>
      <c r="H11" s="27" t="n">
        <f aca="false">BS!G9-BS!H9</f>
        <v>-4211.52098476379</v>
      </c>
      <c r="I11" s="27" t="n">
        <f aca="false">BS!H9-BS!I9</f>
        <v>-2448.66857050927</v>
      </c>
      <c r="J11" s="27" t="n">
        <f aca="false">BS!I9-BS!J9</f>
        <v>-3949.73021278835</v>
      </c>
      <c r="K11" s="27" t="n">
        <f aca="false">BS!J9-BS!K9</f>
        <v>-4076.11226554107</v>
      </c>
      <c r="L11" s="27" t="n">
        <f aca="false">BS!K9-BS!L9</f>
        <v>-3929.45022887687</v>
      </c>
    </row>
    <row r="12" customFormat="false" ht="15" hidden="false" customHeight="false" outlineLevel="0" collapsed="false">
      <c r="A12" s="13" t="s">
        <v>240</v>
      </c>
      <c r="B12" s="11"/>
      <c r="C12" s="20" t="n">
        <v>-175557</v>
      </c>
      <c r="D12" s="20" t="n">
        <v>48571</v>
      </c>
      <c r="E12" s="20" t="n">
        <v>151378</v>
      </c>
      <c r="F12" s="20" t="n">
        <v>4112</v>
      </c>
      <c r="G12" s="20" t="n">
        <v>-2695</v>
      </c>
      <c r="H12" s="27" t="n">
        <f aca="false">BS!G10-BS!H10</f>
        <v>-7842.30720368994</v>
      </c>
      <c r="I12" s="27" t="n">
        <f aca="false">BS!H10-BS!I10</f>
        <v>-512.101542211196</v>
      </c>
      <c r="J12" s="27" t="n">
        <f aca="false">BS!I10-BS!J10</f>
        <v>-2927.24058414053</v>
      </c>
      <c r="K12" s="27" t="n">
        <f aca="false">BS!J10-BS!K10</f>
        <v>-5805.51853074948</v>
      </c>
      <c r="L12" s="27" t="n">
        <f aca="false">BS!K10-BS!L10</f>
        <v>-6593.94819801528</v>
      </c>
    </row>
    <row r="13" customFormat="false" ht="15" hidden="false" customHeight="false" outlineLevel="0" collapsed="false">
      <c r="A13" s="13" t="s">
        <v>241</v>
      </c>
      <c r="B13" s="11"/>
      <c r="C13" s="20" t="n">
        <v>1295</v>
      </c>
      <c r="D13" s="20" t="n">
        <v>-27155</v>
      </c>
      <c r="E13" s="20" t="n">
        <v>4661</v>
      </c>
      <c r="F13" s="20" t="n">
        <v>6124</v>
      </c>
      <c r="G13" s="20" t="n">
        <v>-4350</v>
      </c>
      <c r="H13" s="27" t="n">
        <f aca="false">BS!H20-BS!G20</f>
        <v>1843.90398309558</v>
      </c>
      <c r="I13" s="27" t="n">
        <f aca="false">BS!I20-BS!H20</f>
        <v>1572.42347429975</v>
      </c>
      <c r="J13" s="27" t="n">
        <f aca="false">BS!J20-BS!I20</f>
        <v>1804.0565980692</v>
      </c>
      <c r="K13" s="27" t="n">
        <f aca="false">BS!K20-BS!J20</f>
        <v>1861.78215497126</v>
      </c>
      <c r="L13" s="27" t="n">
        <f aca="false">BS!L20-BS!K20</f>
        <v>1794.79362647035</v>
      </c>
    </row>
    <row r="14" customFormat="false" ht="15" hidden="false" customHeight="false" outlineLevel="0" collapsed="false">
      <c r="A14" s="13" t="s">
        <v>242</v>
      </c>
      <c r="B14" s="11"/>
      <c r="H14" s="27" t="n">
        <f aca="false">(BS!G11-BS!H11)+(BS!H23-BS!G23)</f>
        <v>1906.76467787773</v>
      </c>
      <c r="I14" s="27" t="n">
        <f aca="false">(BS!H11-BS!I11)+(BS!I23-BS!H23)</f>
        <v>1144.64515896878</v>
      </c>
      <c r="J14" s="27" t="n">
        <f aca="false">(BS!I11-BS!J11)+(BS!J23-BS!I23)</f>
        <v>1846.32564069729</v>
      </c>
      <c r="K14" s="27" t="n">
        <f aca="false">(BS!J11-BS!K11)+(BS!K23-BS!J23)</f>
        <v>1905.40370728669</v>
      </c>
      <c r="L14" s="27" t="n">
        <f aca="false">(BS!K11-BS!L11)+(BS!L23-BS!K23)</f>
        <v>1836.84563769167</v>
      </c>
    </row>
    <row r="15" customFormat="false" ht="15" hidden="false" customHeight="false" outlineLevel="0" collapsed="false">
      <c r="A15" s="13" t="s">
        <v>243</v>
      </c>
      <c r="B15" s="11"/>
      <c r="C15" s="27" t="n">
        <f aca="false">C16-SUM(C7:C14)</f>
        <v>-1584</v>
      </c>
      <c r="D15" s="27" t="n">
        <f aca="false">D16-SUM(D7:D14)</f>
        <v>-26934</v>
      </c>
      <c r="E15" s="27" t="n">
        <f aca="false">E16-SUM(E7:E14)</f>
        <v>3567</v>
      </c>
      <c r="F15" s="27" t="n">
        <f aca="false">F16-SUM(F7:F14)</f>
        <v>1886</v>
      </c>
      <c r="G15" s="27" t="n">
        <f aca="false">G16-SUM(G7:G14)</f>
        <v>5041</v>
      </c>
      <c r="M15" s="3" t="s">
        <v>244</v>
      </c>
    </row>
    <row r="16" customFormat="false" ht="15" hidden="false" customHeight="false" outlineLevel="0" collapsed="false">
      <c r="A16" s="2" t="s">
        <v>245</v>
      </c>
      <c r="B16" s="11"/>
      <c r="C16" s="31" t="n">
        <v>-103660</v>
      </c>
      <c r="D16" s="31" t="n">
        <v>44430</v>
      </c>
      <c r="E16" s="31" t="n">
        <v>237086</v>
      </c>
      <c r="F16" s="31" t="n">
        <v>129874</v>
      </c>
      <c r="G16" s="31" t="n">
        <v>102336</v>
      </c>
      <c r="H16" s="19" t="n">
        <f aca="false">SUM(H7:H14)-H8-H9</f>
        <v>106841.532566549</v>
      </c>
      <c r="I16" s="19" t="n">
        <f aca="false">SUM(I7:I14)-I8-I9</f>
        <v>116073.350680133</v>
      </c>
      <c r="J16" s="19" t="n">
        <f aca="false">SUM(J7:J14)-J8-J9</f>
        <v>117695.889096717</v>
      </c>
      <c r="K16" s="19" t="n">
        <f aca="false">SUM(K7:K14)-K8-K9</f>
        <v>119483.01544592</v>
      </c>
      <c r="L16" s="19" t="n">
        <f aca="false">SUM(L7:L14)-L8-L9</f>
        <v>122748.003452432</v>
      </c>
      <c r="M16" s="3" t="s">
        <v>246</v>
      </c>
    </row>
    <row r="18" customFormat="false" ht="15" hidden="false" customHeight="false" outlineLevel="0" collapsed="false">
      <c r="A18" s="21" t="s">
        <v>247</v>
      </c>
    </row>
    <row r="19" customFormat="false" ht="15" hidden="false" customHeight="false" outlineLevel="0" collapsed="false">
      <c r="A19" s="13" t="s">
        <v>248</v>
      </c>
      <c r="B19" s="11"/>
      <c r="C19" s="20" t="n">
        <v>-59937</v>
      </c>
      <c r="D19" s="20" t="n">
        <v>-39088</v>
      </c>
      <c r="E19" s="20" t="n">
        <v>-17851</v>
      </c>
      <c r="F19" s="20" t="n">
        <v>-17594</v>
      </c>
      <c r="G19" s="20" t="n">
        <v>-21532</v>
      </c>
      <c r="H19" s="27" t="n">
        <f aca="false">-H38</f>
        <v>-29099.2264164876</v>
      </c>
      <c r="I19" s="27" t="n">
        <f aca="false">-I38</f>
        <v>-28015.7251294902</v>
      </c>
      <c r="J19" s="27" t="n">
        <f aca="false">-J38</f>
        <v>-27177.0895244028</v>
      </c>
      <c r="K19" s="27" t="n">
        <f aca="false">-K38</f>
        <v>-28012.3349851312</v>
      </c>
      <c r="L19" s="27" t="n">
        <f aca="false">-L38</f>
        <v>-28817.5275934344</v>
      </c>
    </row>
    <row r="20" customFormat="false" ht="15" hidden="false" customHeight="false" outlineLevel="0" collapsed="false">
      <c r="A20" s="13" t="s">
        <v>249</v>
      </c>
      <c r="B20" s="11"/>
      <c r="C20" s="27" t="n">
        <f aca="false">C21-C19</f>
        <v>32046</v>
      </c>
      <c r="D20" s="27" t="n">
        <f aca="false">D21-D19</f>
        <v>1408</v>
      </c>
      <c r="E20" s="27" t="n">
        <f aca="false">E21-E19</f>
        <v>-7768</v>
      </c>
      <c r="F20" s="27" t="n">
        <f aca="false">F21-F19</f>
        <v>-20278</v>
      </c>
      <c r="G20" s="27" t="n">
        <f aca="false">G21-G19</f>
        <v>3898</v>
      </c>
      <c r="H20" s="27" t="n">
        <f aca="false">0</f>
        <v>0</v>
      </c>
      <c r="I20" s="27" t="n">
        <f aca="false">0</f>
        <v>0</v>
      </c>
      <c r="J20" s="27" t="n">
        <f aca="false">0</f>
        <v>0</v>
      </c>
      <c r="K20" s="27" t="n">
        <f aca="false">0</f>
        <v>0</v>
      </c>
      <c r="L20" s="27" t="n">
        <f aca="false">0</f>
        <v>0</v>
      </c>
      <c r="M20" s="3" t="s">
        <v>250</v>
      </c>
    </row>
    <row r="21" customFormat="false" ht="15" hidden="false" customHeight="false" outlineLevel="0" collapsed="false">
      <c r="A21" s="2" t="s">
        <v>251</v>
      </c>
      <c r="B21" s="11"/>
      <c r="C21" s="31" t="n">
        <v>-27891</v>
      </c>
      <c r="D21" s="31" t="n">
        <v>-37680</v>
      </c>
      <c r="E21" s="31" t="n">
        <v>-25619</v>
      </c>
      <c r="F21" s="31" t="n">
        <v>-37872</v>
      </c>
      <c r="G21" s="31" t="n">
        <v>-17634</v>
      </c>
      <c r="H21" s="19" t="n">
        <f aca="false">H19+H20</f>
        <v>-29099.2264164876</v>
      </c>
      <c r="I21" s="19" t="n">
        <f aca="false">I19+I20</f>
        <v>-28015.7251294902</v>
      </c>
      <c r="J21" s="19" t="n">
        <f aca="false">J19+J20</f>
        <v>-27177.0895244028</v>
      </c>
      <c r="K21" s="19" t="n">
        <f aca="false">K19+K20</f>
        <v>-28012.3349851312</v>
      </c>
      <c r="L21" s="19" t="n">
        <f aca="false">L19+L20</f>
        <v>-28817.5275934344</v>
      </c>
    </row>
    <row r="23" customFormat="false" ht="15" hidden="false" customHeight="false" outlineLevel="0" collapsed="false">
      <c r="A23" s="21" t="s">
        <v>252</v>
      </c>
    </row>
    <row r="24" customFormat="false" ht="15" hidden="false" customHeight="false" outlineLevel="0" collapsed="false">
      <c r="A24" s="13" t="s">
        <v>253</v>
      </c>
      <c r="B24" s="11"/>
      <c r="C24" s="20" t="n">
        <v>-18736</v>
      </c>
      <c r="D24" s="20" t="n">
        <v>-19550</v>
      </c>
      <c r="E24" s="20" t="n">
        <v>-5677</v>
      </c>
      <c r="F24" s="20" t="n">
        <v>-18025</v>
      </c>
      <c r="G24" s="20" t="n">
        <v>-29504</v>
      </c>
      <c r="H24" s="27" t="n">
        <f aca="false">-IS!H20*Assumptions!$G$76</f>
        <v>-41852.0763040719</v>
      </c>
      <c r="I24" s="27" t="n">
        <f aca="false">-IS!I20*Assumptions!$G$76</f>
        <v>-42233.9485551967</v>
      </c>
      <c r="J24" s="27" t="n">
        <f aca="false">-IS!J20*Assumptions!$G$76</f>
        <v>-44362.3141164254</v>
      </c>
      <c r="K24" s="27" t="n">
        <f aca="false">-IS!K20*Assumptions!$G$76</f>
        <v>-46569.6430046714</v>
      </c>
      <c r="L24" s="27" t="n">
        <f aca="false">-IS!L20*Assumptions!$G$76</f>
        <v>-48428.9805431481</v>
      </c>
      <c r="M24" s="3" t="s">
        <v>254</v>
      </c>
    </row>
    <row r="25" customFormat="false" ht="15" hidden="false" customHeight="false" outlineLevel="0" collapsed="false">
      <c r="A25" s="13" t="s">
        <v>255</v>
      </c>
      <c r="B25" s="11"/>
      <c r="C25" s="20" t="n">
        <v>-7</v>
      </c>
      <c r="D25" s="20" t="n">
        <v>-1</v>
      </c>
      <c r="E25" s="20" t="n">
        <v>-10002</v>
      </c>
      <c r="F25" s="20" t="n">
        <v>-3</v>
      </c>
      <c r="G25" s="20" t="n">
        <v>-55928</v>
      </c>
      <c r="H25" s="27" t="n">
        <f aca="false">-Assumptions!H63</f>
        <v>-0</v>
      </c>
      <c r="I25" s="27" t="n">
        <f aca="false">-Assumptions!I63</f>
        <v>-0</v>
      </c>
      <c r="J25" s="27" t="n">
        <f aca="false">-Assumptions!J63</f>
        <v>-0</v>
      </c>
      <c r="K25" s="27" t="n">
        <f aca="false">-Assumptions!K63</f>
        <v>-0</v>
      </c>
      <c r="L25" s="27" t="n">
        <f aca="false">-Assumptions!L63</f>
        <v>-0</v>
      </c>
    </row>
    <row r="26" customFormat="false" ht="15" hidden="false" customHeight="false" outlineLevel="0" collapsed="false">
      <c r="A26" s="13" t="s">
        <v>256</v>
      </c>
      <c r="B26" s="11"/>
      <c r="C26" s="20" t="n">
        <v>-3611</v>
      </c>
      <c r="D26" s="20" t="n">
        <v>-4376</v>
      </c>
      <c r="E26" s="20" t="n">
        <v>-4228</v>
      </c>
      <c r="F26" s="20" t="n">
        <v>-5623</v>
      </c>
      <c r="G26" s="20" t="n">
        <v>-5151</v>
      </c>
      <c r="H26" s="27" t="n">
        <f aca="false">-H9</f>
        <v>-5496.52054533656</v>
      </c>
      <c r="I26" s="27" t="n">
        <f aca="false">-I9</f>
        <v>-5603.14502589803</v>
      </c>
      <c r="J26" s="27" t="n">
        <f aca="false">-J9</f>
        <v>-5775.13152393559</v>
      </c>
      <c r="K26" s="27" t="n">
        <f aca="false">-K9</f>
        <v>-5952.62118434037</v>
      </c>
      <c r="L26" s="27" t="n">
        <f aca="false">-L9</f>
        <v>-6123.7246136048</v>
      </c>
    </row>
    <row r="27" customFormat="false" ht="15" hidden="false" customHeight="false" outlineLevel="0" collapsed="false">
      <c r="A27" s="13" t="s">
        <v>257</v>
      </c>
      <c r="B27" s="11"/>
      <c r="C27" s="20" t="n">
        <v>75169</v>
      </c>
      <c r="D27" s="20" t="n">
        <v>104874</v>
      </c>
      <c r="E27" s="20" t="n">
        <v>-171379</v>
      </c>
      <c r="F27" s="20" t="n">
        <v>-9718</v>
      </c>
      <c r="G27" s="20" t="n">
        <v>-8586</v>
      </c>
      <c r="H27" s="27" t="n">
        <f aca="false">MAX(0,Assumptions!$G$77-(H34+H16+H21+H24+H25+H26-(BS!G21-BS!G21)))-(BS!G21-BS!G21)</f>
        <v>0</v>
      </c>
      <c r="I27" s="27" t="n">
        <f aca="false">MAX(0,Assumptions!$G$77-(I34+I16+I21+I24+I25+I26-(BS!H21-BS!G21)))-(BS!H21-BS!G21)</f>
        <v>0</v>
      </c>
      <c r="J27" s="27" t="n">
        <f aca="false">MAX(0,Assumptions!$G$77-(J34+J16+J21+J24+J25+J26-(BS!I21-BS!G21)))-(BS!I21-BS!G21)</f>
        <v>0</v>
      </c>
      <c r="K27" s="27" t="n">
        <f aca="false">MAX(0,Assumptions!$G$77-(K34+K16+K21+K24+K25+K26-(BS!J21-BS!G21)))-(BS!J21-BS!G21)</f>
        <v>0</v>
      </c>
      <c r="L27" s="27" t="n">
        <f aca="false">MAX(0,Assumptions!$G$77-(L34+L16+L21+L24+L25+L26-(BS!K21-BS!G21)))-(BS!K21-BS!G21)</f>
        <v>0</v>
      </c>
      <c r="M27" s="3" t="s">
        <v>258</v>
      </c>
    </row>
    <row r="28" customFormat="false" ht="15" hidden="false" customHeight="false" outlineLevel="0" collapsed="false">
      <c r="A28" s="13" t="s">
        <v>259</v>
      </c>
      <c r="B28" s="11"/>
      <c r="C28" s="27" t="n">
        <f aca="false">C29-SUM(C24:C27)</f>
        <v>-189</v>
      </c>
      <c r="D28" s="27" t="n">
        <f aca="false">D29-SUM(D24:D27)</f>
        <v>23</v>
      </c>
      <c r="E28" s="27" t="n">
        <f aca="false">E29-SUM(E24:E27)</f>
        <v>9</v>
      </c>
      <c r="F28" s="27" t="n">
        <f aca="false">F29-SUM(F24:F27)</f>
        <v>-176</v>
      </c>
      <c r="G28" s="27" t="n">
        <f aca="false">G29-SUM(G24:G27)</f>
        <v>2</v>
      </c>
      <c r="H28" s="27" t="n">
        <f aca="false">0</f>
        <v>0</v>
      </c>
      <c r="I28" s="27" t="n">
        <f aca="false">0</f>
        <v>0</v>
      </c>
      <c r="J28" s="27" t="n">
        <f aca="false">0</f>
        <v>0</v>
      </c>
      <c r="K28" s="27" t="n">
        <f aca="false">0</f>
        <v>0</v>
      </c>
      <c r="L28" s="27" t="n">
        <f aca="false">0</f>
        <v>0</v>
      </c>
    </row>
    <row r="29" customFormat="false" ht="15" hidden="false" customHeight="false" outlineLevel="0" collapsed="false">
      <c r="A29" s="2" t="s">
        <v>260</v>
      </c>
      <c r="B29" s="11"/>
      <c r="C29" s="31" t="n">
        <v>52626</v>
      </c>
      <c r="D29" s="31" t="n">
        <v>80970</v>
      </c>
      <c r="E29" s="31" t="n">
        <v>-191277</v>
      </c>
      <c r="F29" s="31" t="n">
        <v>-33545</v>
      </c>
      <c r="G29" s="31" t="n">
        <v>-99167</v>
      </c>
      <c r="H29" s="19" t="n">
        <f aca="false">SUM(H24:H28)</f>
        <v>-47348.5968494085</v>
      </c>
      <c r="I29" s="19" t="n">
        <f aca="false">SUM(I24:I28)</f>
        <v>-47837.0935810947</v>
      </c>
      <c r="J29" s="19" t="n">
        <f aca="false">SUM(J24:J28)</f>
        <v>-50137.445640361</v>
      </c>
      <c r="K29" s="19" t="n">
        <f aca="false">SUM(K24:K28)</f>
        <v>-52522.2641890118</v>
      </c>
      <c r="L29" s="19" t="n">
        <f aca="false">SUM(L24:L28)</f>
        <v>-54552.7051567529</v>
      </c>
    </row>
    <row r="31" customFormat="false" ht="15" hidden="false" customHeight="false" outlineLevel="0" collapsed="false">
      <c r="A31" s="21" t="s">
        <v>261</v>
      </c>
    </row>
    <row r="32" customFormat="false" ht="15" hidden="false" customHeight="false" outlineLevel="0" collapsed="false">
      <c r="A32" s="13" t="s">
        <v>262</v>
      </c>
      <c r="B32" s="11"/>
      <c r="C32" s="20" t="n">
        <v>1342</v>
      </c>
      <c r="D32" s="20" t="n">
        <v>3943</v>
      </c>
      <c r="E32" s="20" t="n">
        <v>13735</v>
      </c>
      <c r="F32" s="20" t="n">
        <v>-1824</v>
      </c>
      <c r="G32" s="20" t="n">
        <v>18572</v>
      </c>
      <c r="H32" s="27" t="n">
        <f aca="false">0</f>
        <v>0</v>
      </c>
      <c r="I32" s="27" t="n">
        <f aca="false">0</f>
        <v>0</v>
      </c>
      <c r="J32" s="27" t="n">
        <f aca="false">0</f>
        <v>0</v>
      </c>
      <c r="K32" s="27" t="n">
        <f aca="false">0</f>
        <v>0</v>
      </c>
      <c r="L32" s="27" t="n">
        <f aca="false">0</f>
        <v>0</v>
      </c>
      <c r="M32" s="3" t="s">
        <v>263</v>
      </c>
    </row>
    <row r="33" customFormat="false" ht="15" hidden="false" customHeight="false" outlineLevel="0" collapsed="false">
      <c r="A33" s="2" t="s">
        <v>264</v>
      </c>
      <c r="B33" s="11"/>
      <c r="C33" s="19" t="n">
        <f aca="false">C16+C21+C29+C32</f>
        <v>-77583</v>
      </c>
      <c r="D33" s="19" t="n">
        <f aca="false">D16+D21+D29+D32</f>
        <v>91663</v>
      </c>
      <c r="E33" s="19" t="n">
        <f aca="false">E16+E21+E29+E32</f>
        <v>33925</v>
      </c>
      <c r="F33" s="19" t="n">
        <f aca="false">F16+F21+F29+F32</f>
        <v>56633</v>
      </c>
      <c r="G33" s="19" t="n">
        <f aca="false">G16+G21+G29+G32</f>
        <v>4107</v>
      </c>
      <c r="H33" s="19" t="n">
        <f aca="false">H16+H21+H29+H32</f>
        <v>30393.7093006525</v>
      </c>
      <c r="I33" s="19" t="n">
        <f aca="false">I16+I21+I29+I32</f>
        <v>40220.5319695479</v>
      </c>
      <c r="J33" s="19" t="n">
        <f aca="false">J16+J21+J29+J32</f>
        <v>40381.3539319536</v>
      </c>
      <c r="K33" s="19" t="n">
        <f aca="false">K16+K21+K29+K32</f>
        <v>38948.4162717767</v>
      </c>
      <c r="L33" s="19" t="n">
        <f aca="false">L16+L21+L29+L32</f>
        <v>39377.7707022444</v>
      </c>
    </row>
    <row r="34" customFormat="false" ht="15" hidden="false" customHeight="false" outlineLevel="0" collapsed="false">
      <c r="A34" s="13" t="s">
        <v>265</v>
      </c>
      <c r="B34" s="11"/>
      <c r="C34" s="20" t="n">
        <v>148640</v>
      </c>
      <c r="D34" s="20" t="n">
        <v>71057</v>
      </c>
      <c r="E34" s="20" t="n">
        <v>162720</v>
      </c>
      <c r="F34" s="20" t="n">
        <v>196645</v>
      </c>
      <c r="G34" s="20" t="n">
        <v>253279</v>
      </c>
      <c r="H34" s="27" t="n">
        <f aca="false">BS!G7</f>
        <v>257385</v>
      </c>
      <c r="I34" s="27" t="n">
        <f aca="false">BS!H7</f>
        <v>287778.709300653</v>
      </c>
      <c r="J34" s="27" t="n">
        <f aca="false">BS!I7</f>
        <v>327999.2412702</v>
      </c>
      <c r="K34" s="27" t="n">
        <f aca="false">BS!J7</f>
        <v>368380.595202154</v>
      </c>
      <c r="L34" s="27" t="n">
        <f aca="false">BS!K7</f>
        <v>407329.011473931</v>
      </c>
    </row>
    <row r="35" customFormat="false" ht="15" hidden="false" customHeight="false" outlineLevel="0" collapsed="false">
      <c r="A35" s="2" t="s">
        <v>266</v>
      </c>
      <c r="B35" s="11"/>
      <c r="C35" s="19" t="n">
        <f aca="false">C34+C33</f>
        <v>71057</v>
      </c>
      <c r="D35" s="19" t="n">
        <f aca="false">D34+D33</f>
        <v>162720</v>
      </c>
      <c r="E35" s="19" t="n">
        <f aca="false">E34+E33</f>
        <v>196645</v>
      </c>
      <c r="F35" s="19" t="n">
        <f aca="false">F34+F33</f>
        <v>253278</v>
      </c>
      <c r="G35" s="19" t="n">
        <f aca="false">G34+G33</f>
        <v>257386</v>
      </c>
      <c r="H35" s="19" t="n">
        <f aca="false">H34+H33</f>
        <v>287778.709300653</v>
      </c>
      <c r="I35" s="19" t="n">
        <f aca="false">I34+I33</f>
        <v>327999.2412702</v>
      </c>
      <c r="J35" s="19" t="n">
        <f aca="false">J34+J33</f>
        <v>368380.595202154</v>
      </c>
      <c r="K35" s="19" t="n">
        <f aca="false">K34+K33</f>
        <v>407329.011473931</v>
      </c>
      <c r="L35" s="19" t="n">
        <f aca="false">L34+L33</f>
        <v>446706.782176175</v>
      </c>
    </row>
    <row r="37" customFormat="false" ht="15" hidden="false" customHeight="false" outlineLevel="0" collapsed="false">
      <c r="A37" s="21" t="s">
        <v>189</v>
      </c>
    </row>
    <row r="38" customFormat="false" ht="15" hidden="false" customHeight="false" outlineLevel="0" collapsed="false">
      <c r="A38" s="13" t="s">
        <v>267</v>
      </c>
      <c r="B38" s="11"/>
      <c r="C38" s="27" t="n">
        <f aca="false">-C19</f>
        <v>59937</v>
      </c>
      <c r="D38" s="27" t="n">
        <f aca="false">-D19</f>
        <v>39088</v>
      </c>
      <c r="E38" s="27" t="n">
        <f aca="false">-E19</f>
        <v>17851</v>
      </c>
      <c r="F38" s="27" t="n">
        <f aca="false">-F19</f>
        <v>17594</v>
      </c>
      <c r="G38" s="27" t="n">
        <f aca="false">-G19</f>
        <v>21532</v>
      </c>
      <c r="H38" s="27" t="n">
        <f aca="false">IS!H5*Assumptions!H59</f>
        <v>29099.2264164876</v>
      </c>
      <c r="I38" s="27" t="n">
        <f aca="false">IS!I5*Assumptions!I59</f>
        <v>28015.7251294902</v>
      </c>
      <c r="J38" s="27" t="n">
        <f aca="false">IS!J5*Assumptions!J59</f>
        <v>27177.0895244028</v>
      </c>
      <c r="K38" s="27" t="n">
        <f aca="false">IS!K5*Assumptions!K59</f>
        <v>28012.3349851312</v>
      </c>
      <c r="L38" s="27" t="n">
        <f aca="false">IS!L5*Assumptions!L59</f>
        <v>28817.5275934344</v>
      </c>
    </row>
    <row r="39" customFormat="false" ht="15" hidden="false" customHeight="false" outlineLevel="0" collapsed="false">
      <c r="A39" s="2" t="s">
        <v>268</v>
      </c>
      <c r="B39" s="11"/>
      <c r="C39" s="19" t="n">
        <f aca="false">C16+C19+C26</f>
        <v>-167208</v>
      </c>
      <c r="D39" s="19" t="n">
        <f aca="false">D16+D19+D26</f>
        <v>966</v>
      </c>
      <c r="E39" s="19" t="n">
        <f aca="false">E16+E19+E26</f>
        <v>215007</v>
      </c>
      <c r="F39" s="19" t="n">
        <f aca="false">F16+F19+F26</f>
        <v>106657</v>
      </c>
      <c r="G39" s="19" t="n">
        <f aca="false">G16+G19+G26</f>
        <v>75653</v>
      </c>
      <c r="H39" s="19" t="n">
        <f aca="false">H16+H19+H26</f>
        <v>72245.7856047244</v>
      </c>
      <c r="I39" s="19" t="n">
        <f aca="false">I16+I19+I26</f>
        <v>82454.4805247446</v>
      </c>
      <c r="J39" s="19" t="n">
        <f aca="false">J16+J19+J26</f>
        <v>84743.668048379</v>
      </c>
      <c r="K39" s="19" t="n">
        <f aca="false">K16+K19+K26</f>
        <v>85518.0592764481</v>
      </c>
      <c r="L39" s="19" t="n">
        <f aca="false">L16+L19+L26</f>
        <v>87806.7512453925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.71"/>
    <col collapsed="false" customWidth="true" hidden="false" outlineLevel="0" max="12" min="3" style="0" width="11.71"/>
    <col collapsed="false" customWidth="true" hidden="false" outlineLevel="0" max="13" min="13" style="0" width="90.71"/>
  </cols>
  <sheetData>
    <row r="1" customFormat="false" ht="17.35" hidden="false" customHeight="false" outlineLevel="0" collapsed="false">
      <c r="A1" s="1" t="s">
        <v>269</v>
      </c>
    </row>
    <row r="2" customFormat="false" ht="15" hidden="false" customHeight="false" outlineLevel="0" collapsed="false">
      <c r="A2" s="3" t="s">
        <v>270</v>
      </c>
    </row>
    <row r="4" customFormat="false" ht="15" hidden="false" customHeight="false" outlineLevel="0" collapsed="false">
      <c r="A4" s="9" t="s">
        <v>143</v>
      </c>
      <c r="B4" s="9"/>
      <c r="C4" s="10" t="s">
        <v>22</v>
      </c>
      <c r="D4" s="10" t="s">
        <v>23</v>
      </c>
      <c r="E4" s="10" t="s">
        <v>24</v>
      </c>
      <c r="F4" s="10" t="s">
        <v>25</v>
      </c>
      <c r="G4" s="10" t="s">
        <v>26</v>
      </c>
      <c r="H4" s="10" t="s">
        <v>27</v>
      </c>
      <c r="I4" s="10" t="s">
        <v>28</v>
      </c>
      <c r="J4" s="10" t="s">
        <v>29</v>
      </c>
      <c r="K4" s="10" t="s">
        <v>30</v>
      </c>
      <c r="L4" s="10" t="s">
        <v>31</v>
      </c>
      <c r="M4" s="9" t="s">
        <v>32</v>
      </c>
    </row>
    <row r="6" customFormat="false" ht="15" hidden="false" customHeight="false" outlineLevel="0" collapsed="false">
      <c r="A6" s="21" t="s">
        <v>271</v>
      </c>
    </row>
    <row r="7" customFormat="false" ht="15" hidden="false" customHeight="false" outlineLevel="0" collapsed="false">
      <c r="A7" s="13" t="s">
        <v>272</v>
      </c>
      <c r="B7" s="11"/>
      <c r="H7" s="27" t="n">
        <f aca="false">IS!H11</f>
        <v>110738.722751634</v>
      </c>
      <c r="I7" s="27" t="n">
        <f aca="false">IS!I11</f>
        <v>111238.908602387</v>
      </c>
      <c r="J7" s="27" t="n">
        <f aca="false">IS!J11</f>
        <v>116351.914526349</v>
      </c>
      <c r="K7" s="27" t="n">
        <f aca="false">IS!K11</f>
        <v>121678.580091663</v>
      </c>
      <c r="L7" s="27" t="n">
        <f aca="false">IS!L11</f>
        <v>126076.683221275</v>
      </c>
    </row>
    <row r="8" customFormat="false" ht="15" hidden="false" customHeight="false" outlineLevel="0" collapsed="false">
      <c r="A8" s="13" t="s">
        <v>273</v>
      </c>
      <c r="B8" s="11"/>
      <c r="H8" s="27" t="n">
        <f aca="false">-H7*Assumptions!$G$70</f>
        <v>-29899.4551429411</v>
      </c>
      <c r="I8" s="27" t="n">
        <f aca="false">-I7*Assumptions!$G$70</f>
        <v>-30034.5053226446</v>
      </c>
      <c r="J8" s="27" t="n">
        <f aca="false">-J7*Assumptions!$G$70</f>
        <v>-31415.0169221143</v>
      </c>
      <c r="K8" s="27" t="n">
        <f aca="false">-K7*Assumptions!$G$70</f>
        <v>-32853.2166247492</v>
      </c>
      <c r="L8" s="27" t="n">
        <f aca="false">-L7*Assumptions!$G$70</f>
        <v>-34040.7044697444</v>
      </c>
    </row>
    <row r="9" customFormat="false" ht="15" hidden="false" customHeight="false" outlineLevel="0" collapsed="false">
      <c r="A9" s="2" t="s">
        <v>274</v>
      </c>
      <c r="B9" s="11"/>
      <c r="H9" s="19" t="n">
        <f aca="false">H7+H8</f>
        <v>80839.2676086925</v>
      </c>
      <c r="I9" s="19" t="n">
        <f aca="false">I7+I8</f>
        <v>81204.4032797428</v>
      </c>
      <c r="J9" s="19" t="n">
        <f aca="false">J7+J8</f>
        <v>84936.897604235</v>
      </c>
      <c r="K9" s="19" t="n">
        <f aca="false">K7+K8</f>
        <v>88825.3634669143</v>
      </c>
      <c r="L9" s="19" t="n">
        <f aca="false">L7+L8</f>
        <v>92035.978751531</v>
      </c>
    </row>
    <row r="10" customFormat="false" ht="15" hidden="false" customHeight="false" outlineLevel="0" collapsed="false">
      <c r="A10" s="13" t="s">
        <v>275</v>
      </c>
      <c r="B10" s="11"/>
      <c r="H10" s="27" t="n">
        <f aca="false">CF!H8</f>
        <v>25860.231</v>
      </c>
      <c r="I10" s="27" t="n">
        <f aca="false">CF!I8</f>
        <v>26161.4575737334</v>
      </c>
      <c r="J10" s="27" t="n">
        <f aca="false">CF!J8</f>
        <v>26333.9044564187</v>
      </c>
      <c r="K10" s="27" t="n">
        <f aca="false">CF!K8</f>
        <v>26412.3206677412</v>
      </c>
      <c r="L10" s="27" t="n">
        <f aca="false">CF!L8</f>
        <v>26561.1219992585</v>
      </c>
      <c r="M10" s="3" t="s">
        <v>276</v>
      </c>
    </row>
    <row r="11" customFormat="false" ht="15" hidden="false" customHeight="false" outlineLevel="0" collapsed="false">
      <c r="A11" s="13" t="s">
        <v>277</v>
      </c>
      <c r="B11" s="11"/>
      <c r="H11" s="27" t="n">
        <f aca="false">CF!H19</f>
        <v>-29099.2264164876</v>
      </c>
      <c r="I11" s="27" t="n">
        <f aca="false">CF!I19</f>
        <v>-28015.7251294902</v>
      </c>
      <c r="J11" s="27" t="n">
        <f aca="false">CF!J19</f>
        <v>-27177.0895244028</v>
      </c>
      <c r="K11" s="27" t="n">
        <f aca="false">CF!K19</f>
        <v>-28012.3349851312</v>
      </c>
      <c r="L11" s="27" t="n">
        <f aca="false">CF!L19</f>
        <v>-28817.5275934344</v>
      </c>
    </row>
    <row r="12" customFormat="false" ht="15" hidden="false" customHeight="false" outlineLevel="0" collapsed="false">
      <c r="A12" s="13" t="s">
        <v>278</v>
      </c>
      <c r="B12" s="11"/>
      <c r="H12" s="27" t="n">
        <f aca="false">BS!G39-BS!H39</f>
        <v>-8303.15952748049</v>
      </c>
      <c r="I12" s="27" t="n">
        <f aca="false">BS!H39-BS!I39</f>
        <v>-243.701479451847</v>
      </c>
      <c r="J12" s="27" t="n">
        <f aca="false">BS!I39-BS!J39</f>
        <v>-3226.58855816245</v>
      </c>
      <c r="K12" s="27" t="n">
        <f aca="false">BS!J39-BS!K39</f>
        <v>-6114.44493403251</v>
      </c>
      <c r="L12" s="27" t="n">
        <f aca="false">BS!K39-BS!L39</f>
        <v>-6891.75916273019</v>
      </c>
    </row>
    <row r="13" customFormat="false" ht="15" hidden="false" customHeight="false" outlineLevel="0" collapsed="false">
      <c r="A13" s="2" t="s">
        <v>279</v>
      </c>
      <c r="B13" s="11"/>
      <c r="H13" s="19" t="n">
        <f aca="false">H9+H10+H11+H12</f>
        <v>69297.1126647244</v>
      </c>
      <c r="I13" s="19" t="n">
        <f aca="false">I9+I10+I11+I12</f>
        <v>79106.4342445341</v>
      </c>
      <c r="J13" s="19" t="n">
        <f aca="false">J9+J10+J11+J12</f>
        <v>80867.1239780885</v>
      </c>
      <c r="K13" s="19" t="n">
        <f aca="false">K9+K10+K11+K12</f>
        <v>81110.9042154919</v>
      </c>
      <c r="L13" s="19" t="n">
        <f aca="false">L9+L10+L11+L12</f>
        <v>82887.813994625</v>
      </c>
    </row>
    <row r="14" customFormat="false" ht="15" hidden="false" customHeight="false" outlineLevel="0" collapsed="false">
      <c r="A14" s="13" t="s">
        <v>280</v>
      </c>
      <c r="B14" s="11"/>
      <c r="H14" s="7" t="n">
        <f aca="false">(H10+H11+H12)/IS!H5</f>
        <v>-0.0142793341663344</v>
      </c>
      <c r="I14" s="7" t="n">
        <f aca="false">(I10+I11+I12)/IS!I5</f>
        <v>-0.00254610390655243</v>
      </c>
      <c r="J14" s="7" t="n">
        <f aca="false">(J10+J11+J12)/IS!J5</f>
        <v>-0.00479200526310033</v>
      </c>
      <c r="K14" s="7" t="n">
        <f aca="false">(K10+K11+K12)/IS!K5</f>
        <v>-0.0088126425796547</v>
      </c>
      <c r="L14" s="7" t="n">
        <f aca="false">(L10+L11+L12)/IS!L5</f>
        <v>-0.0101584451085141</v>
      </c>
    </row>
    <row r="16" customFormat="false" ht="15" hidden="false" customHeight="false" outlineLevel="0" collapsed="false">
      <c r="A16" s="21" t="s">
        <v>281</v>
      </c>
    </row>
    <row r="17" customFormat="false" ht="15" hidden="false" customHeight="false" outlineLevel="0" collapsed="false">
      <c r="A17" s="13" t="s">
        <v>282</v>
      </c>
      <c r="B17" s="11"/>
      <c r="H17" s="32" t="n">
        <f aca="false">Assumptions!$D$84+1</f>
        <v>46204</v>
      </c>
      <c r="I17" s="32" t="n">
        <f aca="false">DATE(2027,4,1)</f>
        <v>46478</v>
      </c>
      <c r="J17" s="32" t="n">
        <f aca="false">DATE(2028,4,1)</f>
        <v>46844</v>
      </c>
      <c r="K17" s="32" t="n">
        <f aca="false">DATE(2029,4,1)</f>
        <v>47209</v>
      </c>
      <c r="L17" s="32" t="n">
        <f aca="false">DATE(2030,4,1)</f>
        <v>47574</v>
      </c>
    </row>
    <row r="18" customFormat="false" ht="15" hidden="false" customHeight="false" outlineLevel="0" collapsed="false">
      <c r="A18" s="13" t="s">
        <v>283</v>
      </c>
      <c r="B18" s="11"/>
      <c r="H18" s="32" t="n">
        <f aca="false">DATE(2027,3,31)</f>
        <v>46477</v>
      </c>
      <c r="I18" s="32" t="n">
        <f aca="false">DATE(2028,3,31)</f>
        <v>46843</v>
      </c>
      <c r="J18" s="32" t="n">
        <f aca="false">DATE(2029,3,31)</f>
        <v>47208</v>
      </c>
      <c r="K18" s="32" t="n">
        <f aca="false">DATE(2030,3,31)</f>
        <v>47573</v>
      </c>
      <c r="L18" s="32" t="n">
        <f aca="false">DATE(2031,3,31)</f>
        <v>47938</v>
      </c>
    </row>
    <row r="19" customFormat="false" ht="15" hidden="false" customHeight="false" outlineLevel="0" collapsed="false">
      <c r="A19" s="13" t="s">
        <v>284</v>
      </c>
      <c r="B19" s="11"/>
      <c r="H19" s="28" t="n">
        <f aca="false">(H18-H17+1)/(DATE(2027,3,31)-DATE(2026,3,31))</f>
        <v>0.750684931506849</v>
      </c>
      <c r="I19" s="28" t="n">
        <f aca="false">(I18-I17+1)/(DATE(2028,3,31)-DATE(2027,3,31))</f>
        <v>1</v>
      </c>
      <c r="J19" s="28" t="n">
        <f aca="false">(J18-J17+1)/(DATE(2029,3,31)-DATE(2028,3,31))</f>
        <v>1</v>
      </c>
      <c r="K19" s="28" t="n">
        <f aca="false">(K18-K17+1)/(DATE(2030,3,31)-DATE(2029,3,31))</f>
        <v>1</v>
      </c>
      <c r="L19" s="28" t="n">
        <f aca="false">(L18-L17+1)/(DATE(2031,3,31)-DATE(2030,3,31))</f>
        <v>1</v>
      </c>
    </row>
    <row r="20" customFormat="false" ht="15" hidden="false" customHeight="false" outlineLevel="0" collapsed="false">
      <c r="A20" s="13" t="s">
        <v>285</v>
      </c>
      <c r="B20" s="11"/>
      <c r="H20" s="28" t="n">
        <f aca="false">((H17+H18)/2-Assumptions!$D$83)/365.25</f>
        <v>0.0451745379876797</v>
      </c>
      <c r="I20" s="28" t="n">
        <f aca="false">((I17+I18)/2-Assumptions!$D$83)/365.25</f>
        <v>0.921286789869952</v>
      </c>
      <c r="J20" s="28" t="n">
        <f aca="false">((J17+J18)/2-Assumptions!$D$83)/365.25</f>
        <v>1.92197125256674</v>
      </c>
      <c r="K20" s="28" t="n">
        <f aca="false">((K17+K18)/2-Assumptions!$D$83)/365.25</f>
        <v>2.92128678986995</v>
      </c>
      <c r="L20" s="28" t="n">
        <f aca="false">((L17+L18)/2-Assumptions!$D$83)/365.25</f>
        <v>3.92060232717317</v>
      </c>
    </row>
    <row r="21" customFormat="false" ht="15" hidden="false" customHeight="false" outlineLevel="0" collapsed="false">
      <c r="A21" s="13" t="s">
        <v>286</v>
      </c>
      <c r="B21" s="11"/>
      <c r="H21" s="27" t="n">
        <f aca="false">H13*H19</f>
        <v>52020.2982743411</v>
      </c>
      <c r="I21" s="27" t="n">
        <f aca="false">I13*I19</f>
        <v>79106.4342445341</v>
      </c>
      <c r="J21" s="27" t="n">
        <f aca="false">J13*J19</f>
        <v>80867.1239780885</v>
      </c>
      <c r="K21" s="27" t="n">
        <f aca="false">K13*K19</f>
        <v>81110.9042154919</v>
      </c>
      <c r="L21" s="27" t="n">
        <f aca="false">L13*L19</f>
        <v>82887.813994625</v>
      </c>
    </row>
    <row r="22" customFormat="false" ht="15" hidden="false" customHeight="false" outlineLevel="0" collapsed="false">
      <c r="A22" s="13" t="s">
        <v>287</v>
      </c>
      <c r="B22" s="11"/>
      <c r="H22" s="28" t="n">
        <f aca="false">1/(1+Assumptions!$D$101)^H20</f>
        <v>0.996181715267725</v>
      </c>
      <c r="I22" s="28" t="n">
        <f aca="false">1/(1+Assumptions!$D$101)^I20</f>
        <v>0.924946934153421</v>
      </c>
      <c r="J22" s="28" t="n">
        <f aca="false">1/(1+Assumptions!$D$101)^J20</f>
        <v>0.849793761306585</v>
      </c>
      <c r="K22" s="28" t="n">
        <f aca="false">1/(1+Assumptions!$D$101)^K20</f>
        <v>0.780837398991598</v>
      </c>
      <c r="L22" s="28" t="n">
        <f aca="false">1/(1+Assumptions!$D$101)^L20</f>
        <v>0.717476488326439</v>
      </c>
    </row>
    <row r="23" customFormat="false" ht="15" hidden="false" customHeight="false" outlineLevel="0" collapsed="false">
      <c r="A23" s="2" t="s">
        <v>288</v>
      </c>
      <c r="B23" s="11"/>
      <c r="H23" s="19" t="n">
        <f aca="false">H21*H22</f>
        <v>51821.6699636717</v>
      </c>
      <c r="I23" s="19" t="n">
        <f aca="false">I21*I22</f>
        <v>73169.2538262911</v>
      </c>
      <c r="J23" s="19" t="n">
        <f aca="false">J21*J22</f>
        <v>68720.3774513857</v>
      </c>
      <c r="K23" s="19" t="n">
        <f aca="false">K21*K22</f>
        <v>63334.4274774814</v>
      </c>
      <c r="L23" s="19" t="n">
        <f aca="false">L21*L22</f>
        <v>59470.0577099186</v>
      </c>
    </row>
    <row r="24" customFormat="false" ht="15" hidden="false" customHeight="false" outlineLevel="0" collapsed="false">
      <c r="A24" s="13" t="s">
        <v>289</v>
      </c>
      <c r="B24" s="11"/>
      <c r="H24" s="30" t="n">
        <f aca="false">1</f>
        <v>1</v>
      </c>
      <c r="I24" s="30" t="n">
        <f aca="false">2</f>
        <v>2</v>
      </c>
      <c r="J24" s="30" t="n">
        <f aca="false">3</f>
        <v>3</v>
      </c>
      <c r="K24" s="30" t="n">
        <f aca="false">4</f>
        <v>4</v>
      </c>
      <c r="L24" s="30" t="n">
        <f aca="false">5</f>
        <v>5</v>
      </c>
    </row>
    <row r="26" customFormat="false" ht="15" hidden="false" customHeight="false" outlineLevel="0" collapsed="false">
      <c r="A26" s="21" t="s">
        <v>290</v>
      </c>
    </row>
    <row r="27" customFormat="false" ht="15" hidden="false" customHeight="false" outlineLevel="0" collapsed="false">
      <c r="A27" s="13" t="s">
        <v>10</v>
      </c>
      <c r="D27" s="7" t="n">
        <f aca="false">Assumptions!$D$101</f>
        <v>0.0883738674377037</v>
      </c>
      <c r="M27" s="3" t="s">
        <v>291</v>
      </c>
    </row>
    <row r="28" customFormat="false" ht="15" hidden="false" customHeight="false" outlineLevel="0" collapsed="false">
      <c r="A28" s="13" t="s">
        <v>292</v>
      </c>
      <c r="D28" s="7" t="n">
        <f aca="false">Assumptions!$G$78</f>
        <v>0.02</v>
      </c>
    </row>
    <row r="29" customFormat="false" ht="15" hidden="false" customHeight="false" outlineLevel="0" collapsed="false">
      <c r="A29" s="13" t="s">
        <v>293</v>
      </c>
      <c r="D29" s="33" t="n">
        <f aca="false">Assumptions!$G$80</f>
        <v>7.5</v>
      </c>
    </row>
    <row r="30" customFormat="false" ht="15" hidden="false" customHeight="false" outlineLevel="0" collapsed="false">
      <c r="A30" s="13" t="s">
        <v>294</v>
      </c>
      <c r="D30" s="28" t="n">
        <f aca="false">($L$18-Assumptions!$D$83)/365.25</f>
        <v>4.41889117043121</v>
      </c>
    </row>
    <row r="31" customFormat="false" ht="15" hidden="false" customHeight="false" outlineLevel="0" collapsed="false">
      <c r="A31" s="13" t="s">
        <v>295</v>
      </c>
      <c r="D31" s="27" t="n">
        <f aca="false">SUM($H$23:$L$23)</f>
        <v>316515.786428749</v>
      </c>
    </row>
    <row r="32" customFormat="false" ht="15" hidden="false" customHeight="false" outlineLevel="0" collapsed="false">
      <c r="A32" s="13" t="s">
        <v>296</v>
      </c>
      <c r="D32" s="27" t="n">
        <f aca="false">Assumptions!$D$102+Assumptions!$D$103+Assumptions!$D$104-Assumptions!$D$105-Assumptions!$D$106-Assumptions!$D$108*Assumptions!$D$86</f>
        <v>310456.214631</v>
      </c>
      <c r="M32" s="3" t="s">
        <v>297</v>
      </c>
    </row>
    <row r="34" customFormat="false" ht="15" hidden="false" customHeight="false" outlineLevel="0" collapsed="false">
      <c r="A34" s="21" t="s">
        <v>298</v>
      </c>
    </row>
    <row r="35" customFormat="false" ht="15" hidden="false" customHeight="false" outlineLevel="0" collapsed="false">
      <c r="A35" s="13" t="s">
        <v>299</v>
      </c>
      <c r="D35" s="7" t="n">
        <f aca="false">Assumptions!$G$79</f>
        <v>0.12</v>
      </c>
    </row>
    <row r="36" customFormat="false" ht="15" hidden="false" customHeight="false" outlineLevel="0" collapsed="false">
      <c r="A36" s="13" t="s">
        <v>300</v>
      </c>
      <c r="D36" s="27" t="n">
        <f aca="false">$L$9*(1+DCF!$D$28)*(1-DCF!$D$28/DCF!$D$35)</f>
        <v>78230.5819388014</v>
      </c>
      <c r="M36" s="3" t="s">
        <v>301</v>
      </c>
    </row>
    <row r="37" customFormat="false" ht="15" hidden="false" customHeight="false" outlineLevel="0" collapsed="false">
      <c r="A37" s="13" t="s">
        <v>302</v>
      </c>
      <c r="D37" s="27" t="n">
        <f aca="false">DCF!$D$36/(DCF!$D$27-DCF!$D$28)</f>
        <v>1144159.08987565</v>
      </c>
    </row>
    <row r="38" customFormat="false" ht="15" hidden="false" customHeight="false" outlineLevel="0" collapsed="false">
      <c r="A38" s="13" t="s">
        <v>303</v>
      </c>
      <c r="D38" s="27" t="n">
        <f aca="false">DCF!$D$37/(1+DCF!$D$27)^DCF!$D$30</f>
        <v>786987.744698557</v>
      </c>
    </row>
    <row r="39" customFormat="false" ht="15" hidden="false" customHeight="false" outlineLevel="0" collapsed="false">
      <c r="A39" s="13" t="s">
        <v>304</v>
      </c>
      <c r="D39" s="27" t="n">
        <f aca="false">DCF!$D$31+DCF!$D$38</f>
        <v>1103503.53112731</v>
      </c>
    </row>
    <row r="40" customFormat="false" ht="15" hidden="false" customHeight="false" outlineLevel="0" collapsed="false">
      <c r="A40" s="13" t="s">
        <v>305</v>
      </c>
      <c r="D40" s="27" t="n">
        <f aca="false">DCF!$D$39+DCF!$D$32</f>
        <v>1413959.74575831</v>
      </c>
    </row>
    <row r="41" customFormat="false" ht="15" hidden="false" customHeight="false" outlineLevel="0" collapsed="false">
      <c r="A41" s="2" t="s">
        <v>306</v>
      </c>
      <c r="D41" s="5" t="n">
        <f aca="false">DCF!$D$40/Assumptions!$D$86</f>
        <v>5487.79158757565</v>
      </c>
    </row>
    <row r="42" customFormat="false" ht="15" hidden="false" customHeight="false" outlineLevel="0" collapsed="false">
      <c r="A42" s="13" t="s">
        <v>307</v>
      </c>
      <c r="D42" s="7" t="n">
        <f aca="false">DCF!$D$38/DCF!$D$39</f>
        <v>0.713171931488606</v>
      </c>
    </row>
    <row r="43" customFormat="false" ht="15" hidden="false" customHeight="false" outlineLevel="0" collapsed="false">
      <c r="A43" s="13" t="s">
        <v>308</v>
      </c>
      <c r="D43" s="33" t="n">
        <f aca="false">(DCF!$D$37+Assumptions!$D$107)/IS!$L$29</f>
        <v>7.3271093513078</v>
      </c>
      <c r="M43" s="3" t="s">
        <v>309</v>
      </c>
    </row>
    <row r="45" customFormat="false" ht="15" hidden="false" customHeight="false" outlineLevel="0" collapsed="false">
      <c r="A45" s="21" t="s">
        <v>310</v>
      </c>
    </row>
    <row r="46" customFormat="false" ht="15" hidden="false" customHeight="false" outlineLevel="0" collapsed="false">
      <c r="A46" s="13" t="s">
        <v>311</v>
      </c>
      <c r="D46" s="27" t="n">
        <f aca="false">IS!$L$29*DCF!$D$29-Assumptions!$D$107</f>
        <v>1171607.47375604</v>
      </c>
      <c r="M46" s="3" t="s">
        <v>312</v>
      </c>
    </row>
    <row r="47" customFormat="false" ht="15" hidden="false" customHeight="false" outlineLevel="0" collapsed="false">
      <c r="A47" s="13" t="s">
        <v>303</v>
      </c>
      <c r="D47" s="27" t="n">
        <f aca="false">DCF!$D$46/(1+DCF!$D$27)^DCF!$D$30</f>
        <v>805867.585724857</v>
      </c>
    </row>
    <row r="48" customFormat="false" ht="15" hidden="false" customHeight="false" outlineLevel="0" collapsed="false">
      <c r="A48" s="13" t="s">
        <v>304</v>
      </c>
      <c r="D48" s="27" t="n">
        <f aca="false">DCF!$D$31+DCF!$D$47</f>
        <v>1122383.37215361</v>
      </c>
    </row>
    <row r="49" customFormat="false" ht="15" hidden="false" customHeight="false" outlineLevel="0" collapsed="false">
      <c r="A49" s="13" t="s">
        <v>305</v>
      </c>
      <c r="D49" s="27" t="n">
        <f aca="false">DCF!$D$48+DCF!$D$32</f>
        <v>1432839.58678461</v>
      </c>
    </row>
    <row r="50" customFormat="false" ht="15" hidden="false" customHeight="false" outlineLevel="0" collapsed="false">
      <c r="A50" s="2" t="s">
        <v>306</v>
      </c>
      <c r="D50" s="5" t="n">
        <f aca="false">DCF!$D$49/Assumptions!$D$86</f>
        <v>5561.06710554546</v>
      </c>
    </row>
    <row r="51" customFormat="false" ht="15" hidden="false" customHeight="false" outlineLevel="0" collapsed="false">
      <c r="A51" s="13" t="s">
        <v>313</v>
      </c>
      <c r="D51" s="7" t="n">
        <f aca="false">(-(($L$9/DCF!$D$35)-$L$9-DCF!$D$46)-SQRT(((($L$9/DCF!$D$35)-$L$9-DCF!$D$46))^2-4*($L$9/DCF!$D$35)*(DCF!$D$46*DCF!$D$27-$L$9)))/(2*$L$9/DCF!$D$35)</f>
        <v>0.0240544351411912</v>
      </c>
      <c r="M51" s="3" t="s">
        <v>314</v>
      </c>
    </row>
    <row r="53" customFormat="false" ht="15" hidden="false" customHeight="false" outlineLevel="0" collapsed="false">
      <c r="A53" s="21" t="s">
        <v>315</v>
      </c>
    </row>
    <row r="54" customFormat="false" ht="15" hidden="false" customHeight="false" outlineLevel="0" collapsed="false">
      <c r="A54" s="13" t="s">
        <v>316</v>
      </c>
      <c r="D54" s="6" t="n">
        <f aca="false">AVERAGE(DCF!$D$41,DCF!$D$50)</f>
        <v>5524.42934656056</v>
      </c>
    </row>
    <row r="55" customFormat="false" ht="15" hidden="false" customHeight="false" outlineLevel="0" collapsed="false">
      <c r="A55" s="13" t="s">
        <v>11</v>
      </c>
      <c r="D55" s="7" t="n">
        <f aca="false">Assumptions!$D$96</f>
        <v>0.089380336044146</v>
      </c>
    </row>
    <row r="56" customFormat="false" ht="15" hidden="false" customHeight="false" outlineLevel="0" collapsed="false">
      <c r="A56" s="13" t="s">
        <v>317</v>
      </c>
      <c r="D56" s="30" t="n">
        <f aca="false">(IS!$H$25-Assumptions!$D$108)+0.5*IS!$I$25</f>
        <v>165.392407277756</v>
      </c>
      <c r="M56" s="3" t="s">
        <v>318</v>
      </c>
    </row>
    <row r="57" customFormat="false" ht="15" hidden="false" customHeight="false" outlineLevel="0" collapsed="false">
      <c r="A57" s="13" t="s">
        <v>319</v>
      </c>
      <c r="D57" s="6" t="n">
        <f aca="false">DCF!$D$54*(1+DCF!$D$55)-DCF!$D$56</f>
        <v>5852.81229073052</v>
      </c>
    </row>
    <row r="58" customFormat="false" ht="15" hidden="false" customHeight="false" outlineLevel="0" collapsed="false">
      <c r="A58" s="2" t="s">
        <v>320</v>
      </c>
      <c r="D58" s="5" t="n">
        <f aca="false">MROUND(DCF!$D$57,50)</f>
        <v>5850</v>
      </c>
    </row>
    <row r="59" customFormat="false" ht="15" hidden="false" customHeight="false" outlineLevel="0" collapsed="false">
      <c r="A59" s="13" t="s">
        <v>321</v>
      </c>
      <c r="D59" s="6" t="n">
        <f aca="false">Assumptions!$D$85</f>
        <v>5253</v>
      </c>
    </row>
    <row r="60" customFormat="false" ht="15" hidden="false" customHeight="false" outlineLevel="0" collapsed="false">
      <c r="A60" s="2" t="s">
        <v>7</v>
      </c>
      <c r="D60" s="29" t="n">
        <f aca="false">DCF!$D$58/DCF!$D$59-1</f>
        <v>0.113649343232439</v>
      </c>
    </row>
    <row r="61" customFormat="false" ht="15" hidden="false" customHeight="false" outlineLevel="0" collapsed="false">
      <c r="A61" s="13" t="s">
        <v>322</v>
      </c>
      <c r="D61" s="7" t="n">
        <f aca="false">(DCF!$D$58+DCF!$D$56)/DCF!$D$59-1</f>
        <v>0.145134667290644</v>
      </c>
    </row>
    <row r="62" customFormat="false" ht="15" hidden="false" customHeight="false" outlineLevel="0" collapsed="false">
      <c r="A62" s="2" t="s">
        <v>4</v>
      </c>
      <c r="D62" s="8" t="str">
        <f aca="false">IF(DCF!$D$60&gt;0.15,"BUY",IF(DCF!$D$60&lt;-0.1,"SELL","HOLD"))</f>
        <v>HOLD</v>
      </c>
      <c r="M62" s="3" t="s">
        <v>323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.71"/>
    <col collapsed="false" customWidth="true" hidden="false" outlineLevel="0" max="2" min="2" style="0" width="24.71"/>
    <col collapsed="false" customWidth="true" hidden="false" outlineLevel="0" max="12" min="3" style="0" width="11.71"/>
    <col collapsed="false" customWidth="true" hidden="false" outlineLevel="0" max="13" min="13" style="0" width="90.71"/>
  </cols>
  <sheetData>
    <row r="1" customFormat="false" ht="17.35" hidden="false" customHeight="false" outlineLevel="0" collapsed="false">
      <c r="A1" s="1" t="s">
        <v>324</v>
      </c>
    </row>
    <row r="2" customFormat="false" ht="15" hidden="false" customHeight="false" outlineLevel="0" collapsed="false">
      <c r="A2" s="3" t="s">
        <v>325</v>
      </c>
    </row>
    <row r="4" customFormat="false" ht="15" hidden="false" customHeight="false" outlineLevel="0" collapsed="false">
      <c r="A4" s="9" t="s">
        <v>326</v>
      </c>
      <c r="B4" s="9" t="s">
        <v>327</v>
      </c>
      <c r="C4" s="9" t="s">
        <v>328</v>
      </c>
      <c r="D4" s="10" t="s">
        <v>329</v>
      </c>
      <c r="E4" s="10" t="s">
        <v>330</v>
      </c>
      <c r="F4" s="10" t="s">
        <v>167</v>
      </c>
      <c r="G4" s="10" t="s">
        <v>331</v>
      </c>
      <c r="H4" s="10" t="s">
        <v>332</v>
      </c>
      <c r="I4" s="10" t="s">
        <v>217</v>
      </c>
      <c r="J4" s="10" t="s">
        <v>333</v>
      </c>
      <c r="K4" s="10" t="s">
        <v>334</v>
      </c>
      <c r="L4" s="10" t="s">
        <v>335</v>
      </c>
      <c r="M4" s="10" t="s">
        <v>336</v>
      </c>
      <c r="N4" s="10" t="s">
        <v>337</v>
      </c>
    </row>
    <row r="5" customFormat="false" ht="15" hidden="false" customHeight="false" outlineLevel="0" collapsed="false">
      <c r="A5" s="34" t="s">
        <v>338</v>
      </c>
      <c r="B5" s="34" t="s">
        <v>339</v>
      </c>
      <c r="C5" s="34" t="s">
        <v>340</v>
      </c>
      <c r="D5" s="20" t="n">
        <v>4807497.14264855</v>
      </c>
      <c r="E5" s="20" t="n">
        <v>4814893.3772918</v>
      </c>
      <c r="F5" s="20" t="n">
        <v>2408259.60982416</v>
      </c>
      <c r="G5" s="20" t="n">
        <v>326228.632399841</v>
      </c>
      <c r="H5" s="20" t="n">
        <v>189114.767856567</v>
      </c>
      <c r="I5" s="20" t="n">
        <v>1098183.26124524</v>
      </c>
      <c r="J5" s="33" t="n">
        <f aca="false">E5/F5</f>
        <v>1.99932488908178</v>
      </c>
      <c r="K5" s="33" t="n">
        <f aca="false">E5/G5</f>
        <v>14.7592605280288</v>
      </c>
      <c r="L5" s="33" t="n">
        <f aca="false">D5/H5</f>
        <v>25.4210562037903</v>
      </c>
      <c r="M5" s="33" t="n">
        <f aca="false">D5/I5</f>
        <v>4.37768204297459</v>
      </c>
      <c r="N5" s="7" t="n">
        <f aca="false">G5/F5</f>
        <v>0.135462402420834</v>
      </c>
    </row>
    <row r="6" customFormat="false" ht="15" hidden="false" customHeight="false" outlineLevel="0" collapsed="false">
      <c r="A6" s="34" t="s">
        <v>341</v>
      </c>
      <c r="B6" s="34" t="s">
        <v>342</v>
      </c>
      <c r="C6" s="34" t="s">
        <v>340</v>
      </c>
      <c r="D6" s="20" t="n">
        <v>2425172.37357654</v>
      </c>
      <c r="E6" s="20" t="n">
        <v>3327382.0094469</v>
      </c>
      <c r="F6" s="20" t="n">
        <v>2387879.83881836</v>
      </c>
      <c r="G6" s="20" t="n">
        <v>228302.422595215</v>
      </c>
      <c r="H6" s="20" t="n">
        <v>63427.8609436035</v>
      </c>
      <c r="I6" s="20" t="n">
        <v>1428997.03831787</v>
      </c>
      <c r="J6" s="33" t="n">
        <f aca="false">E6/F6</f>
        <v>1.39344616733037</v>
      </c>
      <c r="K6" s="33" t="n">
        <f aca="false">E6/G6</f>
        <v>14.5744489770326</v>
      </c>
      <c r="L6" s="33" t="n">
        <f aca="false">D6/H6</f>
        <v>38.2351278680652</v>
      </c>
      <c r="M6" s="33" t="n">
        <f aca="false">D6/I6</f>
        <v>1.69711504541067</v>
      </c>
      <c r="N6" s="7" t="n">
        <f aca="false">G6/F6</f>
        <v>0.0956088404800931</v>
      </c>
    </row>
    <row r="7" customFormat="false" ht="15" hidden="false" customHeight="false" outlineLevel="0" collapsed="false">
      <c r="A7" s="34" t="s">
        <v>343</v>
      </c>
      <c r="B7" s="34" t="s">
        <v>344</v>
      </c>
      <c r="C7" s="34" t="s">
        <v>340</v>
      </c>
      <c r="D7" s="20" t="n">
        <v>340370.657029525</v>
      </c>
      <c r="E7" s="20" t="n">
        <v>324800.924206954</v>
      </c>
      <c r="F7" s="20" t="n">
        <v>256897.040622253</v>
      </c>
      <c r="G7" s="20" t="n">
        <v>27960.6550576172</v>
      </c>
      <c r="H7" s="20" t="n">
        <v>15403.2327148438</v>
      </c>
      <c r="I7" s="20" t="n">
        <v>160602.531873352</v>
      </c>
      <c r="J7" s="33" t="n">
        <f aca="false">E7/F7</f>
        <v>1.2643233391098</v>
      </c>
      <c r="K7" s="33" t="n">
        <f aca="false">E7/G7</f>
        <v>11.6163560380704</v>
      </c>
      <c r="L7" s="33" t="n">
        <f aca="false">D7/H7</f>
        <v>22.0973521163202</v>
      </c>
      <c r="M7" s="33" t="n">
        <f aca="false">D7/I7</f>
        <v>2.11933556127206</v>
      </c>
      <c r="N7" s="7" t="n">
        <f aca="false">G7/F7</f>
        <v>0.10883992664879</v>
      </c>
    </row>
    <row r="8" customFormat="false" ht="15" hidden="false" customHeight="false" outlineLevel="0" collapsed="false">
      <c r="A8" s="34" t="s">
        <v>345</v>
      </c>
      <c r="B8" s="34" t="s">
        <v>346</v>
      </c>
      <c r="C8" s="34" t="s">
        <v>340</v>
      </c>
      <c r="D8" s="20" t="n">
        <v>236614.523186309</v>
      </c>
      <c r="E8" s="20" t="n">
        <v>413090.627989395</v>
      </c>
      <c r="F8" s="20" t="n">
        <v>745994.438486099</v>
      </c>
      <c r="G8" s="20" t="n">
        <v>93639.4023036957</v>
      </c>
      <c r="H8" s="20" t="n">
        <v>28295.0714874268</v>
      </c>
      <c r="I8" s="20" t="n">
        <v>376686.141176224</v>
      </c>
      <c r="J8" s="33" t="n">
        <f aca="false">E8/F8</f>
        <v>0.553744916420168</v>
      </c>
      <c r="K8" s="33" t="n">
        <f aca="false">E8/G8</f>
        <v>4.41150432218309</v>
      </c>
      <c r="L8" s="33" t="n">
        <f aca="false">D8/H8</f>
        <v>8.36239354586723</v>
      </c>
      <c r="M8" s="33" t="n">
        <f aca="false">D8/I8</f>
        <v>0.628147673411788</v>
      </c>
      <c r="N8" s="7" t="n">
        <f aca="false">G8/F8</f>
        <v>0.12552292278978</v>
      </c>
    </row>
    <row r="9" customFormat="false" ht="15" hidden="false" customHeight="false" outlineLevel="0" collapsed="false">
      <c r="A9" s="34" t="s">
        <v>347</v>
      </c>
      <c r="B9" s="34" t="s">
        <v>348</v>
      </c>
      <c r="C9" s="34" t="s">
        <v>349</v>
      </c>
      <c r="D9" s="20" t="n">
        <v>328577.762448</v>
      </c>
      <c r="E9" s="20" t="n">
        <v>286908.762448</v>
      </c>
      <c r="F9" s="20" t="n">
        <v>99607</v>
      </c>
      <c r="G9" s="20" t="n">
        <v>21988</v>
      </c>
      <c r="H9" s="20" t="n">
        <v>13891</v>
      </c>
      <c r="I9" s="20" t="n">
        <v>115310</v>
      </c>
      <c r="J9" s="33" t="n">
        <f aca="false">E9/F9</f>
        <v>2.88040762645196</v>
      </c>
      <c r="K9" s="33" t="n">
        <f aca="false">E9/G9</f>
        <v>13.0484247065672</v>
      </c>
      <c r="L9" s="33" t="n">
        <f aca="false">D9/H9</f>
        <v>23.6540034877259</v>
      </c>
      <c r="M9" s="33" t="n">
        <f aca="false">D9/I9</f>
        <v>2.84951662863585</v>
      </c>
      <c r="N9" s="7" t="n">
        <f aca="false">G9/F9</f>
        <v>0.220747537823647</v>
      </c>
    </row>
    <row r="10" customFormat="false" ht="15" hidden="false" customHeight="false" outlineLevel="0" collapsed="false">
      <c r="A10" s="34" t="s">
        <v>350</v>
      </c>
      <c r="B10" s="34" t="s">
        <v>351</v>
      </c>
      <c r="C10" s="34" t="s">
        <v>340</v>
      </c>
      <c r="D10" s="20" t="n">
        <v>178038.01365</v>
      </c>
      <c r="E10" s="20" t="n">
        <v>177580.01365</v>
      </c>
      <c r="F10" s="20" t="n">
        <v>174020</v>
      </c>
      <c r="G10" s="20" t="n">
        <v>24730</v>
      </c>
      <c r="H10" s="20" t="n">
        <v>14444</v>
      </c>
      <c r="I10" s="20" t="n">
        <v>119965</v>
      </c>
      <c r="J10" s="33" t="n">
        <f aca="false">E10/F10</f>
        <v>1.02045749712677</v>
      </c>
      <c r="K10" s="33" t="n">
        <f aca="false">E10/G10</f>
        <v>7.1807526748888</v>
      </c>
      <c r="L10" s="33" t="n">
        <f aca="false">D10/H10</f>
        <v>12.3260879015508</v>
      </c>
      <c r="M10" s="33" t="n">
        <f aca="false">D10/I10</f>
        <v>1.48408297128329</v>
      </c>
      <c r="N10" s="7" t="n">
        <f aca="false">G10/F10</f>
        <v>0.142110102287093</v>
      </c>
    </row>
    <row r="11" customFormat="false" ht="15" hidden="false" customHeight="false" outlineLevel="0" collapsed="false">
      <c r="A11" s="34" t="s">
        <v>352</v>
      </c>
      <c r="B11" s="34" t="s">
        <v>353</v>
      </c>
      <c r="C11" s="34" t="s">
        <v>354</v>
      </c>
      <c r="D11" s="20" t="n">
        <v>1574054.70409787</v>
      </c>
      <c r="E11" s="20" t="n">
        <v>1684544.49122555</v>
      </c>
      <c r="F11" s="20" t="n">
        <v>711831.361035156</v>
      </c>
      <c r="G11" s="20" t="n">
        <v>91472.4762451172</v>
      </c>
      <c r="H11" s="20" t="n">
        <v>49886.9043151855</v>
      </c>
      <c r="I11" s="20" t="n">
        <v>229359.816644287</v>
      </c>
      <c r="J11" s="33" t="n">
        <f aca="false">E11/F11</f>
        <v>2.36649378411182</v>
      </c>
      <c r="K11" s="33" t="n">
        <f aca="false">E11/G11</f>
        <v>18.4158619114181</v>
      </c>
      <c r="L11" s="33" t="n">
        <f aca="false">D11/H11</f>
        <v>31.5524630302371</v>
      </c>
      <c r="M11" s="33" t="n">
        <f aca="false">D11/I11</f>
        <v>6.86281811316173</v>
      </c>
      <c r="N11" s="7" t="n">
        <f aca="false">G11/F11</f>
        <v>0.128503015253636</v>
      </c>
    </row>
    <row r="12" customFormat="false" ht="15" hidden="false" customHeight="false" outlineLevel="0" collapsed="false">
      <c r="B12" s="2" t="s">
        <v>355</v>
      </c>
      <c r="J12" s="23" t="n">
        <f aca="false">MEDIAN(J5:J11)</f>
        <v>1.39344616733037</v>
      </c>
      <c r="K12" s="23" t="n">
        <f aca="false">MEDIAN(K5:K11)</f>
        <v>13.0484247065672</v>
      </c>
      <c r="L12" s="23" t="n">
        <f aca="false">MEDIAN(L5:L11)</f>
        <v>23.6540034877259</v>
      </c>
      <c r="M12" s="23" t="n">
        <f aca="false">MEDIAN(M5:M11)</f>
        <v>2.11933556127206</v>
      </c>
      <c r="N12" s="12" t="n">
        <f aca="false">MEDIAN(N5:N11)</f>
        <v>0.128503015253636</v>
      </c>
    </row>
    <row r="13" customFormat="false" ht="15" hidden="false" customHeight="false" outlineLevel="0" collapsed="false">
      <c r="B13" s="2" t="s">
        <v>356</v>
      </c>
      <c r="J13" s="23" t="n">
        <f aca="false">AVERAGE(J5:J11)</f>
        <v>1.63974260280466</v>
      </c>
      <c r="K13" s="23" t="n">
        <f aca="false">AVERAGE(K5:K11)</f>
        <v>12.0009441654556</v>
      </c>
      <c r="L13" s="23" t="n">
        <f aca="false">AVERAGE(L5:L11)</f>
        <v>23.0926405933652</v>
      </c>
      <c r="M13" s="23" t="n">
        <f aca="false">AVERAGE(M5:M11)</f>
        <v>2.85981400516428</v>
      </c>
      <c r="N13" s="12" t="n">
        <f aca="false">AVERAGE(N5:N11)</f>
        <v>0.136684963957696</v>
      </c>
    </row>
    <row r="14" customFormat="false" ht="15" hidden="false" customHeight="false" outlineLevel="0" collapsed="false">
      <c r="B14" s="2" t="s">
        <v>357</v>
      </c>
      <c r="J14" s="23" t="n">
        <f aca="false">QUARTILE(J5:J11,1)</f>
        <v>1.14239041811828</v>
      </c>
      <c r="K14" s="23" t="n">
        <f aca="false">QUARTILE(K5:K11,1)</f>
        <v>9.39855435647958</v>
      </c>
      <c r="L14" s="23" t="n">
        <f aca="false">QUARTILE(L5:L11,1)</f>
        <v>17.2117200089355</v>
      </c>
      <c r="M14" s="23" t="n">
        <f aca="false">QUARTILE(M5:M11,1)</f>
        <v>1.59059900834698</v>
      </c>
      <c r="N14" s="12" t="n">
        <f aca="false">QUARTILE(N5:N11,1)</f>
        <v>0.117181424719285</v>
      </c>
    </row>
    <row r="15" customFormat="false" ht="15" hidden="false" customHeight="false" outlineLevel="0" collapsed="false">
      <c r="B15" s="2" t="s">
        <v>358</v>
      </c>
      <c r="J15" s="23" t="n">
        <f aca="false">QUARTILE(J5:J11,3)</f>
        <v>2.1829093365968</v>
      </c>
      <c r="K15" s="23" t="n">
        <f aca="false">QUARTILE(K5:K11,3)</f>
        <v>14.6668547525307</v>
      </c>
      <c r="L15" s="23" t="n">
        <f aca="false">QUARTILE(L5:L11,3)</f>
        <v>28.4867596170137</v>
      </c>
      <c r="M15" s="23" t="n">
        <f aca="false">QUARTILE(M5:M11,3)</f>
        <v>3.61359933580522</v>
      </c>
      <c r="N15" s="12" t="n">
        <f aca="false">QUARTILE(N5:N11,3)</f>
        <v>0.138786252353964</v>
      </c>
    </row>
    <row r="17" customFormat="false" ht="15" hidden="false" customHeight="false" outlineLevel="0" collapsed="false">
      <c r="A17" s="21" t="s">
        <v>359</v>
      </c>
    </row>
    <row r="18" customFormat="false" ht="15" hidden="false" customHeight="false" outlineLevel="0" collapsed="false">
      <c r="B18" s="13" t="s">
        <v>360</v>
      </c>
      <c r="D18" s="27" t="n">
        <f aca="false">Assumptions!$D$92</f>
        <v>1353464.399283</v>
      </c>
    </row>
    <row r="19" customFormat="false" ht="15" hidden="false" customHeight="false" outlineLevel="0" collapsed="false">
      <c r="B19" s="13" t="s">
        <v>361</v>
      </c>
      <c r="D19" s="27" t="n">
        <f aca="false">Assumptions!$D$92+Assumptions!$D$91-Assumptions!$D$102-Assumptions!$D$103+Assumptions!$D$106</f>
        <v>1098593.399283</v>
      </c>
      <c r="F19" s="3" t="s">
        <v>362</v>
      </c>
    </row>
    <row r="20" customFormat="false" ht="15" hidden="false" customHeight="false" outlineLevel="0" collapsed="false">
      <c r="B20" s="13" t="s">
        <v>363</v>
      </c>
      <c r="D20" s="20" t="n">
        <v>797536</v>
      </c>
      <c r="F20" s="3" t="s">
        <v>364</v>
      </c>
    </row>
    <row r="21" customFormat="false" ht="15" hidden="false" customHeight="false" outlineLevel="0" collapsed="false">
      <c r="B21" s="13" t="s">
        <v>365</v>
      </c>
      <c r="D21" s="20" t="n">
        <v>140297</v>
      </c>
    </row>
    <row r="22" customFormat="false" ht="15" hidden="false" customHeight="false" outlineLevel="0" collapsed="false">
      <c r="B22" s="13" t="s">
        <v>366</v>
      </c>
      <c r="D22" s="20" t="n">
        <v>82999</v>
      </c>
    </row>
    <row r="23" customFormat="false" ht="15" hidden="false" customHeight="false" outlineLevel="0" collapsed="false">
      <c r="B23" s="13" t="s">
        <v>367</v>
      </c>
      <c r="D23" s="20" t="n">
        <v>1006541</v>
      </c>
    </row>
    <row r="24" customFormat="false" ht="15" hidden="false" customHeight="false" outlineLevel="0" collapsed="false">
      <c r="B24" s="13" t="s">
        <v>334</v>
      </c>
      <c r="D24" s="33" t="n">
        <f aca="false">Comps!$D$19/Comps!$D$21</f>
        <v>7.8304838968973</v>
      </c>
    </row>
    <row r="25" customFormat="false" ht="15" hidden="false" customHeight="false" outlineLevel="0" collapsed="false">
      <c r="B25" s="13" t="s">
        <v>335</v>
      </c>
      <c r="D25" s="33" t="n">
        <f aca="false">Comps!$D$18/Comps!$D$22</f>
        <v>16.3069964611983</v>
      </c>
    </row>
    <row r="26" customFormat="false" ht="15" hidden="false" customHeight="false" outlineLevel="0" collapsed="false">
      <c r="B26" s="13" t="s">
        <v>333</v>
      </c>
      <c r="D26" s="33" t="n">
        <f aca="false">Comps!$D$19/Comps!$D$20</f>
        <v>1.37748440105901</v>
      </c>
    </row>
    <row r="27" customFormat="false" ht="15" hidden="false" customHeight="false" outlineLevel="0" collapsed="false">
      <c r="B27" s="13" t="s">
        <v>336</v>
      </c>
      <c r="D27" s="33" t="n">
        <f aca="false">Comps!$D$18/Comps!$D$23</f>
        <v>1.34466891987808</v>
      </c>
    </row>
    <row r="28" customFormat="false" ht="15" hidden="false" customHeight="false" outlineLevel="0" collapsed="false">
      <c r="B28" s="13" t="s">
        <v>368</v>
      </c>
      <c r="D28" s="22" t="n">
        <v>9.79306499114322</v>
      </c>
      <c r="F28" s="3" t="s">
        <v>369</v>
      </c>
    </row>
    <row r="29" customFormat="false" ht="15" hidden="false" customHeight="false" outlineLevel="0" collapsed="false">
      <c r="B29" s="13" t="s">
        <v>370</v>
      </c>
      <c r="D29" s="22" t="n">
        <v>7.77181552965895</v>
      </c>
    </row>
    <row r="30" customFormat="false" ht="15" hidden="false" customHeight="false" outlineLevel="0" collapsed="false">
      <c r="B30" s="13" t="s">
        <v>371</v>
      </c>
      <c r="D30" s="22" t="n">
        <v>10.9137840348721</v>
      </c>
    </row>
    <row r="32" customFormat="false" ht="15" hidden="false" customHeight="false" outlineLevel="0" collapsed="false">
      <c r="A32" s="21" t="s">
        <v>372</v>
      </c>
    </row>
    <row r="33" customFormat="false" ht="15" hidden="false" customHeight="false" outlineLevel="0" collapsed="false">
      <c r="B33" s="13" t="s">
        <v>373</v>
      </c>
      <c r="D33" s="6" t="n">
        <f aca="false">(Comps!$K$12*Comps!$D$21-Comps!$D$19+Comps!$D$18)/Assumptions!$D$86</f>
        <v>8094.24115542113</v>
      </c>
    </row>
    <row r="34" customFormat="false" ht="15" hidden="false" customHeight="false" outlineLevel="0" collapsed="false">
      <c r="B34" s="13" t="s">
        <v>374</v>
      </c>
      <c r="D34" s="6" t="n">
        <f aca="false">Comps!$L$12*Comps!$D$22/Assumptions!$D$86</f>
        <v>7619.70364172711</v>
      </c>
    </row>
    <row r="35" customFormat="false" ht="15" hidden="false" customHeight="false" outlineLevel="0" collapsed="false">
      <c r="B35" s="13" t="s">
        <v>375</v>
      </c>
      <c r="D35" s="6" t="n">
        <f aca="false">(Comps!$K$14*Comps!$D$21-Comps!$D$19+Comps!$D$18)/Assumptions!$D$86</f>
        <v>6106.83611790091</v>
      </c>
    </row>
    <row r="36" customFormat="false" ht="15" hidden="false" customHeight="false" outlineLevel="0" collapsed="false">
      <c r="B36" s="13" t="s">
        <v>376</v>
      </c>
      <c r="D36" s="6" t="n">
        <f aca="false">Comps!$L$14*Comps!$D$22/Assumptions!$D$86</f>
        <v>5544.44010716944</v>
      </c>
    </row>
    <row r="37" customFormat="false" ht="15" hidden="false" customHeight="false" outlineLevel="0" collapsed="false">
      <c r="B37" s="13" t="s">
        <v>377</v>
      </c>
      <c r="D37" s="6" t="n">
        <f aca="false">(Comps!$K$15*Comps!$D$21-Comps!$D$19+Comps!$D$18)/Assumptions!$D$86</f>
        <v>8975.49876670716</v>
      </c>
    </row>
    <row r="38" customFormat="false" ht="15" hidden="false" customHeight="false" outlineLevel="0" collapsed="false">
      <c r="B38" s="13" t="s">
        <v>378</v>
      </c>
      <c r="D38" s="6" t="n">
        <f aca="false">Comps!$L$15*Comps!$D$22/Assumptions!$D$86</f>
        <v>9176.48744354829</v>
      </c>
    </row>
    <row r="39" customFormat="false" ht="15" hidden="false" customHeight="false" outlineLevel="0" collapsed="false">
      <c r="B39" s="13" t="s">
        <v>379</v>
      </c>
      <c r="D39" s="6" t="n">
        <f aca="false">(Comps!$D$29*Comps!$D$21-Comps!$D$19+Comps!$D$18)/Assumptions!$D$86</f>
        <v>5221.05426017673</v>
      </c>
    </row>
    <row r="40" customFormat="false" ht="15" hidden="false" customHeight="false" outlineLevel="0" collapsed="false">
      <c r="B40" s="13" t="s">
        <v>380</v>
      </c>
      <c r="D40" s="6" t="n">
        <f aca="false">(Comps!$D$30*Comps!$D$21-Comps!$D$19+Comps!$D$18)/Assumptions!$D$86</f>
        <v>6931.8996974237</v>
      </c>
    </row>
    <row r="41" customFormat="false" ht="15" hidden="false" customHeight="false" outlineLevel="0" collapsed="false">
      <c r="B41" s="13" t="s">
        <v>381</v>
      </c>
      <c r="D41" s="6" t="n">
        <f aca="false">(Comps!$D$28*Comps!$D$21-Comps!$D$19+Comps!$D$18)/Assumptions!$D$86</f>
        <v>6321.65263122364</v>
      </c>
    </row>
    <row r="43" customFormat="false" ht="15" hidden="false" customHeight="false" outlineLevel="0" collapsed="false">
      <c r="B43" s="3" t="s">
        <v>382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.71"/>
    <col collapsed="false" customWidth="true" hidden="false" outlineLevel="0" max="12" min="3" style="0" width="11.71"/>
    <col collapsed="false" customWidth="true" hidden="false" outlineLevel="0" max="13" min="13" style="0" width="90.71"/>
  </cols>
  <sheetData>
    <row r="1" customFormat="false" ht="17.35" hidden="false" customHeight="false" outlineLevel="0" collapsed="false">
      <c r="A1" s="1" t="s">
        <v>383</v>
      </c>
    </row>
    <row r="2" customFormat="false" ht="15" hidden="false" customHeight="false" outlineLevel="0" collapsed="false">
      <c r="A2" s="3" t="s">
        <v>384</v>
      </c>
    </row>
    <row r="4" customFormat="false" ht="15" hidden="false" customHeight="false" outlineLevel="0" collapsed="false">
      <c r="A4" s="21" t="s">
        <v>385</v>
      </c>
    </row>
    <row r="5" customFormat="false" ht="15" hidden="false" customHeight="false" outlineLevel="0" collapsed="false">
      <c r="B5" s="11" t="s">
        <v>386</v>
      </c>
      <c r="C5" s="29" t="n">
        <f aca="false">DCF!$D$28+(-0.01)</f>
        <v>0.01</v>
      </c>
      <c r="D5" s="29" t="n">
        <f aca="false">DCF!$D$28+(-0.005)</f>
        <v>0.015</v>
      </c>
      <c r="E5" s="29" t="n">
        <f aca="false">DCF!$D$28+(0)</f>
        <v>0.02</v>
      </c>
      <c r="F5" s="29" t="n">
        <f aca="false">DCF!$D$28+(0.005)</f>
        <v>0.025</v>
      </c>
      <c r="G5" s="29" t="n">
        <f aca="false">DCF!$D$28+(0.01)</f>
        <v>0.03</v>
      </c>
    </row>
    <row r="6" customFormat="false" ht="15" hidden="false" customHeight="false" outlineLevel="0" collapsed="false">
      <c r="B6" s="29" t="n">
        <f aca="false">DCF!$D$27+(-0.01)</f>
        <v>0.0783738674377037</v>
      </c>
      <c r="C6" s="6" t="n">
        <f aca="false">(SUMPRODUCT(DCF!$H$21:$L$21/(1+$B6)^DCF!$H$20:$L$20)+DCF!$L$9*(1+C$5)*(1-C$5/DCF!$D$35)/($B6-C$5)/(1+$B6)^DCF!$D$30+DCF!$D$32)/Assumptions!$D$86</f>
        <v>5921.30669277811</v>
      </c>
      <c r="D6" s="6" t="n">
        <f aca="false">(SUMPRODUCT(DCF!$H$21:$L$21/(1+$B6)^DCF!$H$20:$L$20)+DCF!$L$9*(1+D$5)*(1-D$5/DCF!$D$35)/($B6-D$5)/(1+$B6)^DCF!$D$30+DCF!$D$32)/Assumptions!$D$86</f>
        <v>6042.43859999639</v>
      </c>
      <c r="E6" s="6" t="n">
        <f aca="false">(SUMPRODUCT(DCF!$H$21:$L$21/(1+$B6)^DCF!$H$20:$L$20)+DCF!$L$9*(1+E$5)*(1-E$5/DCF!$D$35)/($B6-E$5)/(1+$B6)^DCF!$D$30+DCF!$D$32)/Assumptions!$D$86</f>
        <v>6182.4947860262</v>
      </c>
      <c r="F6" s="6" t="n">
        <f aca="false">(SUMPRODUCT(DCF!$H$21:$L$21/(1+$B6)^DCF!$H$20:$L$20)+DCF!$L$9*(1+F$5)*(1-F$5/DCF!$D$35)/($B6-F$5)/(1+$B6)^DCF!$D$30+DCF!$D$32)/Assumptions!$D$86</f>
        <v>6346.79366221376</v>
      </c>
      <c r="G6" s="6" t="n">
        <f aca="false">(SUMPRODUCT(DCF!$H$21:$L$21/(1+$B6)^DCF!$H$20:$L$20)+DCF!$L$9*(1+G$5)*(1-G$5/DCF!$D$35)/($B6-G$5)/(1+$B6)^DCF!$D$30+DCF!$D$32)/Assumptions!$D$86</f>
        <v>6542.85251778212</v>
      </c>
    </row>
    <row r="7" customFormat="false" ht="15" hidden="false" customHeight="false" outlineLevel="0" collapsed="false">
      <c r="B7" s="29" t="n">
        <f aca="false">DCF!$D$27+(-0.005)</f>
        <v>0.0833738674377037</v>
      </c>
      <c r="C7" s="6" t="n">
        <f aca="false">(SUMPRODUCT(DCF!$H$21:$L$21/(1+$B7)^DCF!$H$20:$L$20)+DCF!$L$9*(1+C$5)*(1-C$5/DCF!$D$35)/($B7-C$5)/(1+$B7)^DCF!$D$30+DCF!$D$32)/Assumptions!$D$86</f>
        <v>5608.46360711662</v>
      </c>
      <c r="D7" s="6" t="n">
        <f aca="false">(SUMPRODUCT(DCF!$H$21:$L$21/(1+$B7)^DCF!$H$20:$L$20)+DCF!$L$9*(1+D$5)*(1-D$5/DCF!$D$35)/($B7-D$5)/(1+$B7)^DCF!$D$30+DCF!$D$32)/Assumptions!$D$86</f>
        <v>5701.54622875481</v>
      </c>
      <c r="E7" s="6" t="n">
        <f aca="false">(SUMPRODUCT(DCF!$H$21:$L$21/(1+$B7)^DCF!$H$20:$L$20)+DCF!$L$9*(1+E$5)*(1-E$5/DCF!$D$35)/($B7-E$5)/(1+$B7)^DCF!$D$30+DCF!$D$32)/Assumptions!$D$86</f>
        <v>5807.66810723986</v>
      </c>
      <c r="F7" s="6" t="n">
        <f aca="false">(SUMPRODUCT(DCF!$H$21:$L$21/(1+$B7)^DCF!$H$20:$L$20)+DCF!$L$9*(1+F$5)*(1-F$5/DCF!$D$35)/($B7-F$5)/(1+$B7)^DCF!$D$30+DCF!$D$32)/Assumptions!$D$86</f>
        <v>5930.17986608343</v>
      </c>
      <c r="G7" s="6" t="n">
        <f aca="false">(SUMPRODUCT(DCF!$H$21:$L$21/(1+$B7)^DCF!$H$20:$L$20)+DCF!$L$9*(1+G$5)*(1-G$5/DCF!$D$35)/($B7-G$5)/(1+$B7)^DCF!$D$30+DCF!$D$32)/Assumptions!$D$86</f>
        <v>6073.6876583934</v>
      </c>
    </row>
    <row r="8" customFormat="false" ht="15" hidden="false" customHeight="false" outlineLevel="0" collapsed="false">
      <c r="B8" s="29" t="n">
        <f aca="false">DCF!$D$27+(0)</f>
        <v>0.0883738674377037</v>
      </c>
      <c r="C8" s="6" t="n">
        <f aca="false">(SUMPRODUCT(DCF!$H$21:$L$21/(1+$B8)^DCF!$H$20:$L$20)+DCF!$L$9*(1+C$5)*(1-C$5/DCF!$D$35)/($B8-C$5)/(1+$B8)^DCF!$D$30+DCF!$D$32)/Assumptions!$D$86</f>
        <v>5335.80002934224</v>
      </c>
      <c r="D8" s="6" t="n">
        <f aca="false">(SUMPRODUCT(DCF!$H$21:$L$21/(1+$B8)^DCF!$H$20:$L$20)+DCF!$L$9*(1+D$5)*(1-D$5/DCF!$D$35)/($B8-D$5)/(1+$B8)^DCF!$D$30+DCF!$D$32)/Assumptions!$D$86</f>
        <v>5407.31475759028</v>
      </c>
      <c r="E8" s="6" t="n">
        <f aca="false">(SUMPRODUCT(DCF!$H$21:$L$21/(1+$B8)^DCF!$H$20:$L$20)+DCF!$L$9*(1+E$5)*(1-E$5/DCF!$D$35)/($B8-E$5)/(1+$B8)^DCF!$D$30+DCF!$D$32)/Assumptions!$D$86</f>
        <v>5487.79158757565</v>
      </c>
      <c r="F8" s="6" t="n">
        <f aca="false">(SUMPRODUCT(DCF!$H$21:$L$21/(1+$B8)^DCF!$H$20:$L$20)+DCF!$L$9*(1+F$5)*(1-F$5/DCF!$D$35)/($B8-F$5)/(1+$B8)^DCF!$D$30+DCF!$D$32)/Assumptions!$D$86</f>
        <v>5579.35176471852</v>
      </c>
      <c r="G8" s="6" t="n">
        <f aca="false">(SUMPRODUCT(DCF!$H$21:$L$21/(1+$B8)^DCF!$H$20:$L$20)+DCF!$L$9*(1+G$5)*(1-G$5/DCF!$D$35)/($B8-G$5)/(1+$B8)^DCF!$D$30+DCF!$D$32)/Assumptions!$D$86</f>
        <v>5684.84331356583</v>
      </c>
    </row>
    <row r="9" customFormat="false" ht="15" hidden="false" customHeight="false" outlineLevel="0" collapsed="false">
      <c r="B9" s="29" t="n">
        <f aca="false">DCF!$D$27+(0.005)</f>
        <v>0.0933738674377037</v>
      </c>
      <c r="C9" s="6" t="n">
        <f aca="false">(SUMPRODUCT(DCF!$H$21:$L$21/(1+$B9)^DCF!$H$20:$L$20)+DCF!$L$9*(1+C$5)*(1-C$5/DCF!$D$35)/($B9-C$5)/(1+$B9)^DCF!$D$30+DCF!$D$32)/Assumptions!$D$86</f>
        <v>5096.07719233329</v>
      </c>
      <c r="D9" s="6" t="n">
        <f aca="false">(SUMPRODUCT(DCF!$H$21:$L$21/(1+$B9)^DCF!$H$20:$L$20)+DCF!$L$9*(1+D$5)*(1-D$5/DCF!$D$35)/($B9-D$5)/(1+$B9)^DCF!$D$30+DCF!$D$32)/Assumptions!$D$86</f>
        <v>5150.80522455268</v>
      </c>
      <c r="E9" s="6" t="n">
        <f aca="false">(SUMPRODUCT(DCF!$H$21:$L$21/(1+$B9)^DCF!$H$20:$L$20)+DCF!$L$9*(1+E$5)*(1-E$5/DCF!$D$35)/($B9-E$5)/(1+$B9)^DCF!$D$30+DCF!$D$32)/Assumptions!$D$86</f>
        <v>5211.62478807488</v>
      </c>
      <c r="F9" s="6" t="n">
        <f aca="false">(SUMPRODUCT(DCF!$H$21:$L$21/(1+$B9)^DCF!$H$20:$L$20)+DCF!$L$9*(1+F$5)*(1-F$5/DCF!$D$35)/($B9-F$5)/(1+$B9)^DCF!$D$30+DCF!$D$32)/Assumptions!$D$86</f>
        <v>5279.87225559558</v>
      </c>
      <c r="G9" s="6" t="n">
        <f aca="false">(SUMPRODUCT(DCF!$H$21:$L$21/(1+$B9)^DCF!$H$20:$L$20)+DCF!$L$9*(1+G$5)*(1-G$5/DCF!$D$35)/($B9-G$5)/(1+$B9)^DCF!$D$30+DCF!$D$32)/Assumptions!$D$86</f>
        <v>5357.30574232034</v>
      </c>
    </row>
    <row r="10" customFormat="false" ht="15" hidden="false" customHeight="false" outlineLevel="0" collapsed="false">
      <c r="B10" s="29" t="n">
        <f aca="false">DCF!$D$27+(0.01)</f>
        <v>0.0983738674377037</v>
      </c>
      <c r="C10" s="6" t="n">
        <f aca="false">(SUMPRODUCT(DCF!$H$21:$L$21/(1+$B10)^DCF!$H$20:$L$20)+DCF!$L$9*(1+C$5)*(1-C$5/DCF!$D$35)/($B10-C$5)/(1+$B10)^DCF!$D$30+DCF!$D$32)/Assumptions!$D$86</f>
        <v>4883.69492500251</v>
      </c>
      <c r="D10" s="6" t="n">
        <f aca="false">(SUMPRODUCT(DCF!$H$21:$L$21/(1+$B10)^DCF!$H$20:$L$20)+DCF!$L$9*(1+D$5)*(1-D$5/DCF!$D$35)/($B10-D$5)/(1+$B10)^DCF!$D$30+DCF!$D$32)/Assumptions!$D$86</f>
        <v>4925.2233156155</v>
      </c>
      <c r="E10" s="6" t="n">
        <f aca="false">(SUMPRODUCT(DCF!$H$21:$L$21/(1+$B10)^DCF!$H$20:$L$20)+DCF!$L$9*(1+E$5)*(1-E$5/DCF!$D$35)/($B10-E$5)/(1+$B10)^DCF!$D$30+DCF!$D$32)/Assumptions!$D$86</f>
        <v>4970.79597734145</v>
      </c>
      <c r="F10" s="6" t="n">
        <f aca="false">(SUMPRODUCT(DCF!$H$21:$L$21/(1+$B10)^DCF!$H$20:$L$20)+DCF!$L$9*(1+F$5)*(1-F$5/DCF!$D$35)/($B10-F$5)/(1+$B10)^DCF!$D$30+DCF!$D$32)/Assumptions!$D$86</f>
        <v>5021.23969046078</v>
      </c>
      <c r="G10" s="6" t="n">
        <f aca="false">(SUMPRODUCT(DCF!$H$21:$L$21/(1+$B10)^DCF!$H$20:$L$20)+DCF!$L$9*(1+G$5)*(1-G$5/DCF!$D$35)/($B10-G$5)/(1+$B10)^DCF!$D$30+DCF!$D$32)/Assumptions!$D$86</f>
        <v>5077.62307627045</v>
      </c>
    </row>
    <row r="12" customFormat="false" ht="15" hidden="false" customHeight="false" outlineLevel="0" collapsed="false">
      <c r="A12" s="21" t="s">
        <v>387</v>
      </c>
    </row>
    <row r="13" customFormat="false" ht="15" hidden="false" customHeight="false" outlineLevel="0" collapsed="false">
      <c r="B13" s="11" t="s">
        <v>388</v>
      </c>
      <c r="C13" s="35" t="n">
        <f aca="false">DCF!$D$29+(-2)</f>
        <v>5.5</v>
      </c>
      <c r="D13" s="35" t="n">
        <f aca="false">DCF!$D$29+(-1)</f>
        <v>6.5</v>
      </c>
      <c r="E13" s="35" t="n">
        <f aca="false">DCF!$D$29+(0)</f>
        <v>7.5</v>
      </c>
      <c r="F13" s="35" t="n">
        <f aca="false">DCF!$D$29+(1)</f>
        <v>8.5</v>
      </c>
      <c r="G13" s="35" t="n">
        <f aca="false">DCF!$D$29+(2)</f>
        <v>9.5</v>
      </c>
    </row>
    <row r="14" customFormat="false" ht="15" hidden="false" customHeight="false" outlineLevel="0" collapsed="false">
      <c r="B14" s="29" t="n">
        <f aca="false">DCF!$D$27+(-0.01)</f>
        <v>0.0783738674377037</v>
      </c>
      <c r="C14" s="6" t="n">
        <f aca="false">(SUMPRODUCT(DCF!$H$21:$L$21/(1+$B14)^DCF!$H$20:$L$20)+(IS!$L$29*C$13-Assumptions!$D$107)/(1+$B14)^DCF!$D$30+DCF!$D$32)/Assumptions!$D$86</f>
        <v>4830.84514026117</v>
      </c>
      <c r="D14" s="6" t="n">
        <f aca="false">(SUMPRODUCT(DCF!$H$21:$L$21/(1+$B14)^DCF!$H$20:$L$20)+(IS!$L$29*D$13-Assumptions!$D$107)/(1+$B14)^DCF!$D$30+DCF!$D$32)/Assumptions!$D$86</f>
        <v>5272.31557678302</v>
      </c>
      <c r="E14" s="6" t="n">
        <f aca="false">(SUMPRODUCT(DCF!$H$21:$L$21/(1+$B14)^DCF!$H$20:$L$20)+(IS!$L$29*E$13-Assumptions!$D$107)/(1+$B14)^DCF!$D$30+DCF!$D$32)/Assumptions!$D$86</f>
        <v>5713.78601330487</v>
      </c>
      <c r="F14" s="6" t="n">
        <f aca="false">(SUMPRODUCT(DCF!$H$21:$L$21/(1+$B14)^DCF!$H$20:$L$20)+(IS!$L$29*F$13-Assumptions!$D$107)/(1+$B14)^DCF!$D$30+DCF!$D$32)/Assumptions!$D$86</f>
        <v>6155.25644982672</v>
      </c>
      <c r="G14" s="6" t="n">
        <f aca="false">(SUMPRODUCT(DCF!$H$21:$L$21/(1+$B14)^DCF!$H$20:$L$20)+(IS!$L$29*G$13-Assumptions!$D$107)/(1+$B14)^DCF!$D$30+DCF!$D$32)/Assumptions!$D$86</f>
        <v>6596.72688634857</v>
      </c>
    </row>
    <row r="15" customFormat="false" ht="15" hidden="false" customHeight="false" outlineLevel="0" collapsed="false">
      <c r="B15" s="29" t="n">
        <f aca="false">DCF!$D$27+(-0.005)</f>
        <v>0.0833738674377037</v>
      </c>
      <c r="C15" s="6" t="n">
        <f aca="false">(SUMPRODUCT(DCF!$H$21:$L$21/(1+$B15)^DCF!$H$20:$L$20)+(IS!$L$29*C$13-Assumptions!$D$107)/(1+$B15)^DCF!$D$30+DCF!$D$32)/Assumptions!$D$86</f>
        <v>4771.43659946399</v>
      </c>
      <c r="D15" s="6" t="n">
        <f aca="false">(SUMPRODUCT(DCF!$H$21:$L$21/(1+$B15)^DCF!$H$20:$L$20)+(IS!$L$29*D$13-Assumptions!$D$107)/(1+$B15)^DCF!$D$30+DCF!$D$32)/Assumptions!$D$86</f>
        <v>5203.97440327431</v>
      </c>
      <c r="E15" s="6" t="n">
        <f aca="false">(SUMPRODUCT(DCF!$H$21:$L$21/(1+$B15)^DCF!$H$20:$L$20)+(IS!$L$29*E$13-Assumptions!$D$107)/(1+$B15)^DCF!$D$30+DCF!$D$32)/Assumptions!$D$86</f>
        <v>5636.51220708463</v>
      </c>
      <c r="F15" s="6" t="n">
        <f aca="false">(SUMPRODUCT(DCF!$H$21:$L$21/(1+$B15)^DCF!$H$20:$L$20)+(IS!$L$29*F$13-Assumptions!$D$107)/(1+$B15)^DCF!$D$30+DCF!$D$32)/Assumptions!$D$86</f>
        <v>6069.05001089495</v>
      </c>
      <c r="G15" s="6" t="n">
        <f aca="false">(SUMPRODUCT(DCF!$H$21:$L$21/(1+$B15)^DCF!$H$20:$L$20)+(IS!$L$29*G$13-Assumptions!$D$107)/(1+$B15)^DCF!$D$30+DCF!$D$32)/Assumptions!$D$86</f>
        <v>6501.58781470528</v>
      </c>
    </row>
    <row r="16" customFormat="false" ht="15" hidden="false" customHeight="false" outlineLevel="0" collapsed="false">
      <c r="B16" s="29" t="n">
        <f aca="false">DCF!$D$27+(0)</f>
        <v>0.0883738674377037</v>
      </c>
      <c r="C16" s="6" t="n">
        <f aca="false">(SUMPRODUCT(DCF!$H$21:$L$21/(1+$B16)^DCF!$H$20:$L$20)+(IS!$L$29*C$13-Assumptions!$D$107)/(1+$B16)^DCF!$D$30+DCF!$D$32)/Assumptions!$D$86</f>
        <v>4713.415500047</v>
      </c>
      <c r="D16" s="6" t="n">
        <f aca="false">(SUMPRODUCT(DCF!$H$21:$L$21/(1+$B16)^DCF!$H$20:$L$20)+(IS!$L$29*D$13-Assumptions!$D$107)/(1+$B16)^DCF!$D$30+DCF!$D$32)/Assumptions!$D$86</f>
        <v>5137.24130279623</v>
      </c>
      <c r="E16" s="6" t="n">
        <f aca="false">(SUMPRODUCT(DCF!$H$21:$L$21/(1+$B16)^DCF!$H$20:$L$20)+(IS!$L$29*E$13-Assumptions!$D$107)/(1+$B16)^DCF!$D$30+DCF!$D$32)/Assumptions!$D$86</f>
        <v>5561.06710554546</v>
      </c>
      <c r="F16" s="6" t="n">
        <f aca="false">(SUMPRODUCT(DCF!$H$21:$L$21/(1+$B16)^DCF!$H$20:$L$20)+(IS!$L$29*F$13-Assumptions!$D$107)/(1+$B16)^DCF!$D$30+DCF!$D$32)/Assumptions!$D$86</f>
        <v>5984.89290829469</v>
      </c>
      <c r="G16" s="6" t="n">
        <f aca="false">(SUMPRODUCT(DCF!$H$21:$L$21/(1+$B16)^DCF!$H$20:$L$20)+(IS!$L$29*G$13-Assumptions!$D$107)/(1+$B16)^DCF!$D$30+DCF!$D$32)/Assumptions!$D$86</f>
        <v>6408.71871104392</v>
      </c>
    </row>
    <row r="17" customFormat="false" ht="15" hidden="false" customHeight="false" outlineLevel="0" collapsed="false">
      <c r="B17" s="29" t="n">
        <f aca="false">DCF!$D$27+(0.005)</f>
        <v>0.0933738674377037</v>
      </c>
      <c r="C17" s="6" t="n">
        <f aca="false">(SUMPRODUCT(DCF!$H$21:$L$21/(1+$B17)^DCF!$H$20:$L$20)+(IS!$L$29*C$13-Assumptions!$D$107)/(1+$B17)^DCF!$D$30+DCF!$D$32)/Assumptions!$D$86</f>
        <v>4656.74259201863</v>
      </c>
      <c r="D17" s="6" t="n">
        <f aca="false">(SUMPRODUCT(DCF!$H$21:$L$21/(1+$B17)^DCF!$H$20:$L$20)+(IS!$L$29*D$13-Assumptions!$D$107)/(1+$B17)^DCF!$D$30+DCF!$D$32)/Assumptions!$D$86</f>
        <v>5072.07059954315</v>
      </c>
      <c r="E17" s="6" t="n">
        <f aca="false">(SUMPRODUCT(DCF!$H$21:$L$21/(1+$B17)^DCF!$H$20:$L$20)+(IS!$L$29*E$13-Assumptions!$D$107)/(1+$B17)^DCF!$D$30+DCF!$D$32)/Assumptions!$D$86</f>
        <v>5487.39860706768</v>
      </c>
      <c r="F17" s="6" t="n">
        <f aca="false">(SUMPRODUCT(DCF!$H$21:$L$21/(1+$B17)^DCF!$H$20:$L$20)+(IS!$L$29*F$13-Assumptions!$D$107)/(1+$B17)^DCF!$D$30+DCF!$D$32)/Assumptions!$D$86</f>
        <v>5902.7266145922</v>
      </c>
      <c r="G17" s="6" t="n">
        <f aca="false">(SUMPRODUCT(DCF!$H$21:$L$21/(1+$B17)^DCF!$H$20:$L$20)+(IS!$L$29*G$13-Assumptions!$D$107)/(1+$B17)^DCF!$D$30+DCF!$D$32)/Assumptions!$D$86</f>
        <v>6318.05462211672</v>
      </c>
    </row>
    <row r="18" customFormat="false" ht="15" hidden="false" customHeight="false" outlineLevel="0" collapsed="false">
      <c r="B18" s="29" t="n">
        <f aca="false">DCF!$D$27+(0.01)</f>
        <v>0.0983738674377037</v>
      </c>
      <c r="C18" s="6" t="n">
        <f aca="false">(SUMPRODUCT(DCF!$H$21:$L$21/(1+$B18)^DCF!$H$20:$L$20)+(IS!$L$29*C$13-Assumptions!$D$107)/(1+$B18)^DCF!$D$30+DCF!$D$32)/Assumptions!$D$86</f>
        <v>4601.37991708951</v>
      </c>
      <c r="D18" s="6" t="n">
        <f aca="false">(SUMPRODUCT(DCF!$H$21:$L$21/(1+$B18)^DCF!$H$20:$L$20)+(IS!$L$29*D$13-Assumptions!$D$107)/(1+$B18)^DCF!$D$30+DCF!$D$32)/Assumptions!$D$86</f>
        <v>5008.41812473885</v>
      </c>
      <c r="E18" s="6" t="n">
        <f aca="false">(SUMPRODUCT(DCF!$H$21:$L$21/(1+$B18)^DCF!$H$20:$L$20)+(IS!$L$29*E$13-Assumptions!$D$107)/(1+$B18)^DCF!$D$30+DCF!$D$32)/Assumptions!$D$86</f>
        <v>5415.4563323882</v>
      </c>
      <c r="F18" s="6" t="n">
        <f aca="false">(SUMPRODUCT(DCF!$H$21:$L$21/(1+$B18)^DCF!$H$20:$L$20)+(IS!$L$29*F$13-Assumptions!$D$107)/(1+$B18)^DCF!$D$30+DCF!$D$32)/Assumptions!$D$86</f>
        <v>5822.49454003754</v>
      </c>
      <c r="G18" s="6" t="n">
        <f aca="false">(SUMPRODUCT(DCF!$H$21:$L$21/(1+$B18)^DCF!$H$20:$L$20)+(IS!$L$29*G$13-Assumptions!$D$107)/(1+$B18)^DCF!$D$30+DCF!$D$32)/Assumptions!$D$86</f>
        <v>6229.53274768688</v>
      </c>
    </row>
    <row r="20" customFormat="false" ht="15" hidden="false" customHeight="false" outlineLevel="0" collapsed="false">
      <c r="A20" s="21" t="s">
        <v>389</v>
      </c>
    </row>
    <row r="21" customFormat="false" ht="15" hidden="false" customHeight="false" outlineLevel="0" collapsed="false">
      <c r="B21" s="11" t="s">
        <v>390</v>
      </c>
      <c r="C21" s="29" t="n">
        <f aca="false">0.11</f>
        <v>0.11</v>
      </c>
      <c r="D21" s="29" t="n">
        <f aca="false">0.125</f>
        <v>0.125</v>
      </c>
      <c r="E21" s="29" t="n">
        <f aca="false">0.14</f>
        <v>0.14</v>
      </c>
      <c r="F21" s="29" t="n">
        <f aca="false">0.155</f>
        <v>0.155</v>
      </c>
      <c r="G21" s="29" t="n">
        <f aca="false">0.17</f>
        <v>0.17</v>
      </c>
    </row>
    <row r="22" customFormat="false" ht="15" hidden="false" customHeight="false" outlineLevel="0" collapsed="false">
      <c r="B22" s="29" t="n">
        <f aca="false">-0.02</f>
        <v>-0.02</v>
      </c>
      <c r="C22" s="6" t="n">
        <f aca="false">(SUMPRODUCT(IS!$H$5:$L$5*(1+$B22)^DCF!$H$24:$L$24*(C$21*(1-Assumptions!$G$70)+DCF!$H$14:$L$14)*DCF!$H$19:$L$19/(1+DCF!$D$27)^DCF!$H$20:$L$20)+IS!$L$5*(1+$B22)^DCF!$L$24*C$21*(1-Assumptions!$G$70)*(1-DCF!$D$28/DCF!$D$35)*(1+DCF!$D$28)/(DCF!$D$27-DCF!$D$28)/(1+DCF!$D$27)^DCF!$D$30+DCF!$D$32)/Assumptions!$D$86</f>
        <v>4279.91240835161</v>
      </c>
      <c r="D22" s="6" t="n">
        <f aca="false">(SUMPRODUCT(IS!$H$5:$L$5*(1+$B22)^DCF!$H$24:$L$24*(D$21*(1-Assumptions!$G$70)+DCF!$H$14:$L$14)*DCF!$H$19:$L$19/(1+DCF!$D$27)^DCF!$H$20:$L$20)+IS!$L$5*(1+$B22)^DCF!$L$24*D$21*(1-Assumptions!$G$70)*(1-DCF!$D$28/DCF!$D$35)*(1+DCF!$D$28)/(DCF!$D$27-DCF!$D$28)/(1+DCF!$D$27)^DCF!$D$30+DCF!$D$32)/Assumptions!$D$86</f>
        <v>4712.49499159911</v>
      </c>
      <c r="E22" s="6" t="n">
        <f aca="false">(SUMPRODUCT(IS!$H$5:$L$5*(1+$B22)^DCF!$H$24:$L$24*(E$21*(1-Assumptions!$G$70)+DCF!$H$14:$L$14)*DCF!$H$19:$L$19/(1+DCF!$D$27)^DCF!$H$20:$L$20)+IS!$L$5*(1+$B22)^DCF!$L$24*E$21*(1-Assumptions!$G$70)*(1-DCF!$D$28/DCF!$D$35)*(1+DCF!$D$28)/(DCF!$D$27-DCF!$D$28)/(1+DCF!$D$27)^DCF!$D$30+DCF!$D$32)/Assumptions!$D$86</f>
        <v>5145.07757484661</v>
      </c>
      <c r="F22" s="6" t="n">
        <f aca="false">(SUMPRODUCT(IS!$H$5:$L$5*(1+$B22)^DCF!$H$24:$L$24*(F$21*(1-Assumptions!$G$70)+DCF!$H$14:$L$14)*DCF!$H$19:$L$19/(1+DCF!$D$27)^DCF!$H$20:$L$20)+IS!$L$5*(1+$B22)^DCF!$L$24*F$21*(1-Assumptions!$G$70)*(1-DCF!$D$28/DCF!$D$35)*(1+DCF!$D$28)/(DCF!$D$27-DCF!$D$28)/(1+DCF!$D$27)^DCF!$D$30+DCF!$D$32)/Assumptions!$D$86</f>
        <v>5577.66015809411</v>
      </c>
      <c r="G22" s="6" t="n">
        <f aca="false">(SUMPRODUCT(IS!$H$5:$L$5*(1+$B22)^DCF!$H$24:$L$24*(G$21*(1-Assumptions!$G$70)+DCF!$H$14:$L$14)*DCF!$H$19:$L$19/(1+DCF!$D$27)^DCF!$H$20:$L$20)+IS!$L$5*(1+$B22)^DCF!$L$24*G$21*(1-Assumptions!$G$70)*(1-DCF!$D$28/DCF!$D$35)*(1+DCF!$D$28)/(DCF!$D$27-DCF!$D$28)/(1+DCF!$D$27)^DCF!$D$30+DCF!$D$32)/Assumptions!$D$86</f>
        <v>6010.24274134161</v>
      </c>
    </row>
    <row r="23" customFormat="false" ht="15" hidden="false" customHeight="false" outlineLevel="0" collapsed="false">
      <c r="B23" s="29" t="n">
        <f aca="false">-0.01</f>
        <v>-0.01</v>
      </c>
      <c r="C23" s="6" t="n">
        <f aca="false">(SUMPRODUCT(IS!$H$5:$L$5*(1+$B23)^DCF!$H$24:$L$24*(C$21*(1-Assumptions!$G$70)+DCF!$H$14:$L$14)*DCF!$H$19:$L$19/(1+DCF!$D$27)^DCF!$H$20:$L$20)+IS!$L$5*(1+$B23)^DCF!$L$24*C$21*(1-Assumptions!$G$70)*(1-DCF!$D$28/DCF!$D$35)*(1+DCF!$D$28)/(DCF!$D$27-DCF!$D$28)/(1+DCF!$D$27)^DCF!$D$30+DCF!$D$32)/Assumptions!$D$86</f>
        <v>4420.63904897043</v>
      </c>
      <c r="D23" s="6" t="n">
        <f aca="false">(SUMPRODUCT(IS!$H$5:$L$5*(1+$B23)^DCF!$H$24:$L$24*(D$21*(1-Assumptions!$G$70)+DCF!$H$14:$L$14)*DCF!$H$19:$L$19/(1+DCF!$D$27)^DCF!$H$20:$L$20)+IS!$L$5*(1+$B23)^DCF!$L$24*D$21*(1-Assumptions!$G$70)*(1-DCF!$D$28/DCF!$D$35)*(1+DCF!$D$28)/(DCF!$D$27-DCF!$D$28)/(1+DCF!$D$27)^DCF!$D$30+DCF!$D$32)/Assumptions!$D$86</f>
        <v>4872.81619954474</v>
      </c>
      <c r="E23" s="6" t="n">
        <f aca="false">(SUMPRODUCT(IS!$H$5:$L$5*(1+$B23)^DCF!$H$24:$L$24*(E$21*(1-Assumptions!$G$70)+DCF!$H$14:$L$14)*DCF!$H$19:$L$19/(1+DCF!$D$27)^DCF!$H$20:$L$20)+IS!$L$5*(1+$B23)^DCF!$L$24*E$21*(1-Assumptions!$G$70)*(1-DCF!$D$28/DCF!$D$35)*(1+DCF!$D$28)/(DCF!$D$27-DCF!$D$28)/(1+DCF!$D$27)^DCF!$D$30+DCF!$D$32)/Assumptions!$D$86</f>
        <v>5324.99335011904</v>
      </c>
      <c r="F23" s="6" t="n">
        <f aca="false">(SUMPRODUCT(IS!$H$5:$L$5*(1+$B23)^DCF!$H$24:$L$24*(F$21*(1-Assumptions!$G$70)+DCF!$H$14:$L$14)*DCF!$H$19:$L$19/(1+DCF!$D$27)^DCF!$H$20:$L$20)+IS!$L$5*(1+$B23)^DCF!$L$24*F$21*(1-Assumptions!$G$70)*(1-DCF!$D$28/DCF!$D$35)*(1+DCF!$D$28)/(DCF!$D$27-DCF!$D$28)/(1+DCF!$D$27)^DCF!$D$30+DCF!$D$32)/Assumptions!$D$86</f>
        <v>5777.17050069335</v>
      </c>
      <c r="G23" s="6" t="n">
        <f aca="false">(SUMPRODUCT(IS!$H$5:$L$5*(1+$B23)^DCF!$H$24:$L$24*(G$21*(1-Assumptions!$G$70)+DCF!$H$14:$L$14)*DCF!$H$19:$L$19/(1+DCF!$D$27)^DCF!$H$20:$L$20)+IS!$L$5*(1+$B23)^DCF!$L$24*G$21*(1-Assumptions!$G$70)*(1-DCF!$D$28/DCF!$D$35)*(1+DCF!$D$28)/(DCF!$D$27-DCF!$D$28)/(1+DCF!$D$27)^DCF!$D$30+DCF!$D$32)/Assumptions!$D$86</f>
        <v>6229.34765126766</v>
      </c>
    </row>
    <row r="24" customFormat="false" ht="15" hidden="false" customHeight="false" outlineLevel="0" collapsed="false">
      <c r="B24" s="29" t="n">
        <f aca="false">0</f>
        <v>0</v>
      </c>
      <c r="C24" s="6" t="n">
        <f aca="false">(SUMPRODUCT(IS!$H$5:$L$5*(1+$B24)^DCF!$H$24:$L$24*(C$21*(1-Assumptions!$G$70)+DCF!$H$14:$L$14)*DCF!$H$19:$L$19/(1+DCF!$D$27)^DCF!$H$20:$L$20)+IS!$L$5*(1+$B24)^DCF!$L$24*C$21*(1-Assumptions!$G$70)*(1-DCF!$D$28/DCF!$D$35)*(1+DCF!$D$28)/(DCF!$D$27-DCF!$D$28)/(1+DCF!$D$27)^DCF!$D$30+DCF!$D$32)/Assumptions!$D$86</f>
        <v>4566.75921173707</v>
      </c>
      <c r="D24" s="6" t="n">
        <f aca="false">(SUMPRODUCT(IS!$H$5:$L$5*(1+$B24)^DCF!$H$24:$L$24*(D$21*(1-Assumptions!$G$70)+DCF!$H$14:$L$14)*DCF!$H$19:$L$19/(1+DCF!$D$27)^DCF!$H$20:$L$20)+IS!$L$5*(1+$B24)^DCF!$L$24*D$21*(1-Assumptions!$G$70)*(1-DCF!$D$28/DCF!$D$35)*(1+DCF!$D$28)/(DCF!$D$27-DCF!$D$28)/(1+DCF!$D$27)^DCF!$D$30+DCF!$D$32)/Assumptions!$D$86</f>
        <v>5039.27819370801</v>
      </c>
      <c r="E24" s="6" t="n">
        <f aca="false">(SUMPRODUCT(IS!$H$5:$L$5*(1+$B24)^DCF!$H$24:$L$24*(E$21*(1-Assumptions!$G$70)+DCF!$H$14:$L$14)*DCF!$H$19:$L$19/(1+DCF!$D$27)^DCF!$H$20:$L$20)+IS!$L$5*(1+$B24)^DCF!$L$24*E$21*(1-Assumptions!$G$70)*(1-DCF!$D$28/DCF!$D$35)*(1+DCF!$D$28)/(DCF!$D$27-DCF!$D$28)/(1+DCF!$D$27)^DCF!$D$30+DCF!$D$32)/Assumptions!$D$86</f>
        <v>5511.79717567895</v>
      </c>
      <c r="F24" s="6" t="n">
        <f aca="false">(SUMPRODUCT(IS!$H$5:$L$5*(1+$B24)^DCF!$H$24:$L$24*(F$21*(1-Assumptions!$G$70)+DCF!$H$14:$L$14)*DCF!$H$19:$L$19/(1+DCF!$D$27)^DCF!$H$20:$L$20)+IS!$L$5*(1+$B24)^DCF!$L$24*F$21*(1-Assumptions!$G$70)*(1-DCF!$D$28/DCF!$D$35)*(1+DCF!$D$28)/(DCF!$D$27-DCF!$D$28)/(1+DCF!$D$27)^DCF!$D$30+DCF!$D$32)/Assumptions!$D$86</f>
        <v>5984.31615764989</v>
      </c>
      <c r="G24" s="6" t="n">
        <f aca="false">(SUMPRODUCT(IS!$H$5:$L$5*(1+$B24)^DCF!$H$24:$L$24*(G$21*(1-Assumptions!$G$70)+DCF!$H$14:$L$14)*DCF!$H$19:$L$19/(1+DCF!$D$27)^DCF!$H$20:$L$20)+IS!$L$5*(1+$B24)^DCF!$L$24*G$21*(1-Assumptions!$G$70)*(1-DCF!$D$28/DCF!$D$35)*(1+DCF!$D$28)/(DCF!$D$27-DCF!$D$28)/(1+DCF!$D$27)^DCF!$D$30+DCF!$D$32)/Assumptions!$D$86</f>
        <v>6456.83513962083</v>
      </c>
    </row>
    <row r="25" customFormat="false" ht="15" hidden="false" customHeight="false" outlineLevel="0" collapsed="false">
      <c r="B25" s="29" t="n">
        <f aca="false">0.01</f>
        <v>0.01</v>
      </c>
      <c r="C25" s="6" t="n">
        <f aca="false">(SUMPRODUCT(IS!$H$5:$L$5*(1+$B25)^DCF!$H$24:$L$24*(C$21*(1-Assumptions!$G$70)+DCF!$H$14:$L$14)*DCF!$H$19:$L$19/(1+DCF!$D$27)^DCF!$H$20:$L$20)+IS!$L$5*(1+$B25)^DCF!$L$24*C$21*(1-Assumptions!$G$70)*(1-DCF!$D$28/DCF!$D$35)*(1+DCF!$D$28)/(DCF!$D$27-DCF!$D$28)/(1+DCF!$D$27)^DCF!$D$30+DCF!$D$32)/Assumptions!$D$86</f>
        <v>4718.43170437664</v>
      </c>
      <c r="D25" s="6" t="n">
        <f aca="false">(SUMPRODUCT(IS!$H$5:$L$5*(1+$B25)^DCF!$H$24:$L$24*(D$21*(1-Assumptions!$G$70)+DCF!$H$14:$L$14)*DCF!$H$19:$L$19/(1+DCF!$D$27)^DCF!$H$20:$L$20)+IS!$L$5*(1+$B25)^DCF!$L$24*D$21*(1-Assumptions!$G$70)*(1-DCF!$D$28/DCF!$D$35)*(1+DCF!$D$28)/(DCF!$D$27-DCF!$D$28)/(1+DCF!$D$27)^DCF!$D$30+DCF!$D$32)/Assumptions!$D$86</f>
        <v>5212.06173087813</v>
      </c>
      <c r="E25" s="6" t="n">
        <f aca="false">(SUMPRODUCT(IS!$H$5:$L$5*(1+$B25)^DCF!$H$24:$L$24*(E$21*(1-Assumptions!$G$70)+DCF!$H$14:$L$14)*DCF!$H$19:$L$19/(1+DCF!$D$27)^DCF!$H$20:$L$20)+IS!$L$5*(1+$B25)^DCF!$L$24*E$21*(1-Assumptions!$G$70)*(1-DCF!$D$28/DCF!$D$35)*(1+DCF!$D$28)/(DCF!$D$27-DCF!$D$28)/(1+DCF!$D$27)^DCF!$D$30+DCF!$D$32)/Assumptions!$D$86</f>
        <v>5705.69175737962</v>
      </c>
      <c r="F25" s="6" t="n">
        <f aca="false">(SUMPRODUCT(IS!$H$5:$L$5*(1+$B25)^DCF!$H$24:$L$24*(F$21*(1-Assumptions!$G$70)+DCF!$H$14:$L$14)*DCF!$H$19:$L$19/(1+DCF!$D$27)^DCF!$H$20:$L$20)+IS!$L$5*(1+$B25)^DCF!$L$24*F$21*(1-Assumptions!$G$70)*(1-DCF!$D$28/DCF!$D$35)*(1+DCF!$D$28)/(DCF!$D$27-DCF!$D$28)/(1+DCF!$D$27)^DCF!$D$30+DCF!$D$32)/Assumptions!$D$86</f>
        <v>6199.32178388112</v>
      </c>
      <c r="G25" s="6" t="n">
        <f aca="false">(SUMPRODUCT(IS!$H$5:$L$5*(1+$B25)^DCF!$H$24:$L$24*(G$21*(1-Assumptions!$G$70)+DCF!$H$14:$L$14)*DCF!$H$19:$L$19/(1+DCF!$D$27)^DCF!$H$20:$L$20)+IS!$L$5*(1+$B25)^DCF!$L$24*G$21*(1-Assumptions!$G$70)*(1-DCF!$D$28/DCF!$D$35)*(1+DCF!$D$28)/(DCF!$D$27-DCF!$D$28)/(1+DCF!$D$27)^DCF!$D$30+DCF!$D$32)/Assumptions!$D$86</f>
        <v>6692.95181038261</v>
      </c>
    </row>
    <row r="26" customFormat="false" ht="15" hidden="false" customHeight="false" outlineLevel="0" collapsed="false">
      <c r="B26" s="29" t="n">
        <f aca="false">0.02</f>
        <v>0.02</v>
      </c>
      <c r="C26" s="6" t="n">
        <f aca="false">(SUMPRODUCT(IS!$H$5:$L$5*(1+$B26)^DCF!$H$24:$L$24*(C$21*(1-Assumptions!$G$70)+DCF!$H$14:$L$14)*DCF!$H$19:$L$19/(1+DCF!$D$27)^DCF!$H$20:$L$20)+IS!$L$5*(1+$B26)^DCF!$L$24*C$21*(1-Assumptions!$G$70)*(1-DCF!$D$28/DCF!$D$35)*(1+DCF!$D$28)/(DCF!$D$27-DCF!$D$28)/(1+DCF!$D$27)^DCF!$D$30+DCF!$D$32)/Assumptions!$D$86</f>
        <v>4875.81847108267</v>
      </c>
      <c r="D26" s="6" t="n">
        <f aca="false">(SUMPRODUCT(IS!$H$5:$L$5*(1+$B26)^DCF!$H$24:$L$24*(D$21*(1-Assumptions!$G$70)+DCF!$H$14:$L$14)*DCF!$H$19:$L$19/(1+DCF!$D$27)^DCF!$H$20:$L$20)+IS!$L$5*(1+$B26)^DCF!$L$24*D$21*(1-Assumptions!$G$70)*(1-DCF!$D$28/DCF!$D$35)*(1+DCF!$D$28)/(DCF!$D$27-DCF!$D$28)/(1+DCF!$D$27)^DCF!$D$30+DCF!$D$32)/Assumptions!$D$86</f>
        <v>5391.35113694661</v>
      </c>
      <c r="E26" s="6" t="n">
        <f aca="false">(SUMPRODUCT(IS!$H$5:$L$5*(1+$B26)^DCF!$H$24:$L$24*(E$21*(1-Assumptions!$G$70)+DCF!$H$14:$L$14)*DCF!$H$19:$L$19/(1+DCF!$D$27)^DCF!$H$20:$L$20)+IS!$L$5*(1+$B26)^DCF!$L$24*E$21*(1-Assumptions!$G$70)*(1-DCF!$D$28/DCF!$D$35)*(1+DCF!$D$28)/(DCF!$D$27-DCF!$D$28)/(1+DCF!$D$27)^DCF!$D$30+DCF!$D$32)/Assumptions!$D$86</f>
        <v>5906.88380281055</v>
      </c>
      <c r="F26" s="6" t="n">
        <f aca="false">(SUMPRODUCT(IS!$H$5:$L$5*(1+$B26)^DCF!$H$24:$L$24*(F$21*(1-Assumptions!$G$70)+DCF!$H$14:$L$14)*DCF!$H$19:$L$19/(1+DCF!$D$27)^DCF!$H$20:$L$20)+IS!$L$5*(1+$B26)^DCF!$L$24*F$21*(1-Assumptions!$G$70)*(1-DCF!$D$28/DCF!$D$35)*(1+DCF!$D$28)/(DCF!$D$27-DCF!$D$28)/(1+DCF!$D$27)^DCF!$D$30+DCF!$D$32)/Assumptions!$D$86</f>
        <v>6422.41646867448</v>
      </c>
      <c r="G26" s="6" t="n">
        <f aca="false">(SUMPRODUCT(IS!$H$5:$L$5*(1+$B26)^DCF!$H$24:$L$24*(G$21*(1-Assumptions!$G$70)+DCF!$H$14:$L$14)*DCF!$H$19:$L$19/(1+DCF!$D$27)^DCF!$H$20:$L$20)+IS!$L$5*(1+$B26)^DCF!$L$24*G$21*(1-Assumptions!$G$70)*(1-DCF!$D$28/DCF!$D$35)*(1+DCF!$D$28)/(DCF!$D$27-DCF!$D$28)/(1+DCF!$D$27)^DCF!$D$30+DCF!$D$32)/Assumptions!$D$86</f>
        <v>6937.94913453842</v>
      </c>
    </row>
    <row r="28" customFormat="false" ht="15" hidden="false" customHeight="false" outlineLevel="0" collapsed="false">
      <c r="A28" s="3" t="s">
        <v>391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.71"/>
    <col collapsed="false" customWidth="true" hidden="false" outlineLevel="0" max="12" min="3" style="0" width="11.71"/>
    <col collapsed="false" customWidth="true" hidden="false" outlineLevel="0" max="13" min="13" style="0" width="90.71"/>
  </cols>
  <sheetData>
    <row r="1" customFormat="false" ht="17.35" hidden="false" customHeight="false" outlineLevel="0" collapsed="false">
      <c r="A1" s="1" t="s">
        <v>392</v>
      </c>
    </row>
    <row r="2" customFormat="false" ht="15" hidden="false" customHeight="false" outlineLevel="0" collapsed="false">
      <c r="A2" s="3" t="s">
        <v>393</v>
      </c>
    </row>
    <row r="4" customFormat="false" ht="15" hidden="false" customHeight="false" outlineLevel="0" collapsed="false">
      <c r="A4" s="9" t="s">
        <v>394</v>
      </c>
      <c r="B4" s="9"/>
      <c r="C4" s="9" t="s">
        <v>395</v>
      </c>
      <c r="D4" s="9" t="s">
        <v>396</v>
      </c>
      <c r="E4" s="9" t="s">
        <v>397</v>
      </c>
    </row>
    <row r="5" customFormat="false" ht="15" hidden="false" customHeight="false" outlineLevel="0" collapsed="false">
      <c r="A5" s="13" t="s">
        <v>398</v>
      </c>
      <c r="C5" s="6" t="n">
        <f aca="false">MIN(Sensitivity!$D$7:$F$9)</f>
        <v>5150.80522455268</v>
      </c>
      <c r="D5" s="6" t="n">
        <f aca="false">MAX(Sensitivity!$D$7:$F$9)</f>
        <v>5930.17986608343</v>
      </c>
      <c r="E5" s="3" t="s">
        <v>399</v>
      </c>
    </row>
    <row r="6" customFormat="false" ht="15" hidden="false" customHeight="false" outlineLevel="0" collapsed="false">
      <c r="A6" s="13" t="s">
        <v>400</v>
      </c>
      <c r="C6" s="6" t="n">
        <f aca="false">MIN(Sensitivity!$D$15:$F$17)</f>
        <v>5072.07059954315</v>
      </c>
      <c r="D6" s="6" t="n">
        <f aca="false">MAX(Sensitivity!$D$15:$F$17)</f>
        <v>6069.05001089495</v>
      </c>
      <c r="E6" s="3" t="s">
        <v>401</v>
      </c>
    </row>
    <row r="7" customFormat="false" ht="15" hidden="false" customHeight="false" outlineLevel="0" collapsed="false">
      <c r="A7" s="13" t="s">
        <v>402</v>
      </c>
      <c r="C7" s="6" t="n">
        <f aca="false">Comps!$D$35</f>
        <v>6106.83611790091</v>
      </c>
      <c r="D7" s="6" t="n">
        <f aca="false">Comps!$D$37</f>
        <v>8975.49876670716</v>
      </c>
      <c r="E7" s="3" t="s">
        <v>403</v>
      </c>
    </row>
    <row r="8" customFormat="false" ht="15" hidden="false" customHeight="false" outlineLevel="0" collapsed="false">
      <c r="A8" s="13" t="s">
        <v>404</v>
      </c>
      <c r="C8" s="6" t="n">
        <f aca="false">Comps!$D$36</f>
        <v>5544.44010716944</v>
      </c>
      <c r="D8" s="6" t="n">
        <f aca="false">Comps!$D$38</f>
        <v>9176.48744354829</v>
      </c>
      <c r="E8" s="3" t="s">
        <v>403</v>
      </c>
    </row>
    <row r="9" customFormat="false" ht="15" hidden="false" customHeight="false" outlineLevel="0" collapsed="false">
      <c r="A9" s="13" t="s">
        <v>405</v>
      </c>
      <c r="C9" s="6" t="n">
        <f aca="false">Comps!$D$39</f>
        <v>5221.05426017673</v>
      </c>
      <c r="D9" s="6" t="n">
        <f aca="false">Comps!$D$40</f>
        <v>6931.8996974237</v>
      </c>
      <c r="E9" s="3" t="s">
        <v>406</v>
      </c>
    </row>
    <row r="10" customFormat="false" ht="15" hidden="false" customHeight="false" outlineLevel="0" collapsed="false">
      <c r="A10" s="13" t="s">
        <v>407</v>
      </c>
      <c r="C10" s="25" t="n">
        <v>4203</v>
      </c>
      <c r="D10" s="25" t="n">
        <v>6106</v>
      </c>
      <c r="E10" s="3" t="s">
        <v>408</v>
      </c>
    </row>
    <row r="12" customFormat="false" ht="15" hidden="false" customHeight="false" outlineLevel="0" collapsed="false">
      <c r="A12" s="2" t="s">
        <v>321</v>
      </c>
      <c r="C12" s="6" t="n">
        <f aca="false">Assumptions!$D$85</f>
        <v>5253</v>
      </c>
    </row>
    <row r="13" customFormat="false" ht="15" hidden="false" customHeight="false" outlineLevel="0" collapsed="false">
      <c r="A13" s="2" t="s">
        <v>409</v>
      </c>
      <c r="C13" s="5" t="n">
        <f aca="false">DCF!$D$58</f>
        <v>5850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.71"/>
    <col collapsed="false" customWidth="true" hidden="false" outlineLevel="0" max="12" min="3" style="0" width="11.71"/>
    <col collapsed="false" customWidth="true" hidden="false" outlineLevel="0" max="13" min="13" style="0" width="90.71"/>
  </cols>
  <sheetData>
    <row r="1" customFormat="false" ht="17.35" hidden="false" customHeight="false" outlineLevel="0" collapsed="false">
      <c r="A1" s="1" t="s">
        <v>12</v>
      </c>
    </row>
    <row r="2" customFormat="false" ht="15" hidden="false" customHeight="false" outlineLevel="0" collapsed="false">
      <c r="A2" s="3" t="s">
        <v>410</v>
      </c>
    </row>
    <row r="4" customFormat="false" ht="15" hidden="false" customHeight="false" outlineLevel="0" collapsed="false">
      <c r="A4" s="9" t="s">
        <v>411</v>
      </c>
      <c r="B4" s="9"/>
      <c r="C4" s="10" t="s">
        <v>22</v>
      </c>
      <c r="D4" s="10" t="s">
        <v>23</v>
      </c>
      <c r="E4" s="10" t="s">
        <v>24</v>
      </c>
      <c r="F4" s="10" t="s">
        <v>25</v>
      </c>
      <c r="G4" s="10" t="s">
        <v>26</v>
      </c>
      <c r="H4" s="10" t="s">
        <v>27</v>
      </c>
      <c r="I4" s="10" t="s">
        <v>28</v>
      </c>
      <c r="J4" s="10" t="s">
        <v>29</v>
      </c>
      <c r="K4" s="10" t="s">
        <v>30</v>
      </c>
      <c r="L4" s="10" t="s">
        <v>31</v>
      </c>
      <c r="M4" s="9" t="s">
        <v>32</v>
      </c>
    </row>
    <row r="5" customFormat="false" ht="15" hidden="false" customHeight="false" outlineLevel="0" collapsed="false">
      <c r="A5" s="13" t="s">
        <v>412</v>
      </c>
      <c r="C5" s="36" t="b">
        <f aca="false">ABS(BS!C36)&lt;=2</f>
        <v>1</v>
      </c>
      <c r="D5" s="36" t="b">
        <f aca="false">ABS(BS!D36)&lt;=2</f>
        <v>1</v>
      </c>
      <c r="E5" s="36" t="b">
        <f aca="false">ABS(BS!E36)&lt;=2</f>
        <v>1</v>
      </c>
      <c r="F5" s="36" t="b">
        <f aca="false">ABS(BS!F36)&lt;=2</f>
        <v>1</v>
      </c>
      <c r="G5" s="36" t="b">
        <f aca="false">ABS(BS!G36)&lt;=2</f>
        <v>1</v>
      </c>
      <c r="H5" s="36" t="b">
        <f aca="false">ABS(BS!H36-BS!G36)&lt;0.5</f>
        <v>1</v>
      </c>
      <c r="I5" s="36" t="b">
        <f aca="false">ABS(BS!I36-BS!G36)&lt;0.5</f>
        <v>1</v>
      </c>
      <c r="J5" s="36" t="b">
        <f aca="false">ABS(BS!J36-BS!G36)&lt;0.5</f>
        <v>1</v>
      </c>
      <c r="K5" s="36" t="b">
        <f aca="false">ABS(BS!K36-BS!G36)&lt;0.5</f>
        <v>1</v>
      </c>
      <c r="L5" s="36" t="b">
        <f aca="false">ABS(BS!L36-BS!G36)&lt;0.5</f>
        <v>1</v>
      </c>
      <c r="M5" s="3" t="s">
        <v>413</v>
      </c>
    </row>
    <row r="6" customFormat="false" ht="15" hidden="false" customHeight="false" outlineLevel="0" collapsed="false">
      <c r="A6" s="13" t="s">
        <v>414</v>
      </c>
      <c r="C6" s="36" t="b">
        <f aca="false">ABS(CF!C35-BS!C7)&lt;=2</f>
        <v>1</v>
      </c>
      <c r="D6" s="36" t="b">
        <f aca="false">ABS(CF!D35-BS!D7)&lt;=2</f>
        <v>1</v>
      </c>
      <c r="E6" s="36" t="b">
        <f aca="false">ABS(CF!E35-BS!E7)&lt;=2</f>
        <v>1</v>
      </c>
      <c r="F6" s="36" t="b">
        <f aca="false">ABS(CF!F35-BS!F7)&lt;=2</f>
        <v>1</v>
      </c>
      <c r="G6" s="36" t="b">
        <f aca="false">ABS(CF!G35-BS!G7)&lt;=2</f>
        <v>1</v>
      </c>
      <c r="H6" s="36" t="b">
        <f aca="false">ABS(CF!H35-BS!H7)&lt;0.5</f>
        <v>1</v>
      </c>
      <c r="I6" s="36" t="b">
        <f aca="false">ABS(CF!I35-BS!I7)&lt;0.5</f>
        <v>1</v>
      </c>
      <c r="J6" s="36" t="b">
        <f aca="false">ABS(CF!J35-BS!J7)&lt;0.5</f>
        <v>1</v>
      </c>
      <c r="K6" s="36" t="b">
        <f aca="false">ABS(CF!K35-BS!K7)&lt;0.5</f>
        <v>1</v>
      </c>
      <c r="L6" s="36" t="b">
        <f aca="false">ABS(CF!L35-BS!L7)&lt;0.5</f>
        <v>1</v>
      </c>
    </row>
    <row r="7" customFormat="false" ht="15" hidden="false" customHeight="false" outlineLevel="0" collapsed="false">
      <c r="A7" s="13" t="s">
        <v>415</v>
      </c>
      <c r="H7" s="36" t="b">
        <f aca="false">ABS(CF!H34-BS!G7)&lt;0.5</f>
        <v>1</v>
      </c>
      <c r="I7" s="36" t="b">
        <f aca="false">ABS(CF!I34-BS!H7)&lt;0.5</f>
        <v>1</v>
      </c>
      <c r="J7" s="36" t="b">
        <f aca="false">ABS(CF!J34-BS!I7)&lt;0.5</f>
        <v>1</v>
      </c>
      <c r="K7" s="36" t="b">
        <f aca="false">ABS(CF!K34-BS!J7)&lt;0.5</f>
        <v>1</v>
      </c>
      <c r="L7" s="36" t="b">
        <f aca="false">ABS(CF!L34-BS!K7)&lt;0.5</f>
        <v>1</v>
      </c>
    </row>
    <row r="8" customFormat="false" ht="15" hidden="false" customHeight="false" outlineLevel="0" collapsed="false">
      <c r="A8" s="13" t="s">
        <v>416</v>
      </c>
      <c r="C8" s="36" t="b">
        <f aca="false">ABS(Drivers!C31-IS!C5)&lt;=2</f>
        <v>1</v>
      </c>
      <c r="D8" s="36" t="b">
        <f aca="false">ABS(Drivers!D31-IS!D5)&lt;=2</f>
        <v>1</v>
      </c>
      <c r="E8" s="36" t="b">
        <f aca="false">ABS(Drivers!E31-IS!E5)&lt;=2</f>
        <v>1</v>
      </c>
      <c r="F8" s="36" t="b">
        <f aca="false">ABS(Drivers!F31-IS!F5)&lt;=2</f>
        <v>1</v>
      </c>
      <c r="G8" s="36" t="b">
        <f aca="false">ABS(Drivers!G31-IS!G5)&lt;=2</f>
        <v>1</v>
      </c>
      <c r="H8" s="36" t="b">
        <f aca="false">ABS(Drivers!H31-IS!H5)&lt;0.5</f>
        <v>1</v>
      </c>
      <c r="I8" s="36" t="b">
        <f aca="false">ABS(Drivers!I31-IS!I5)&lt;0.5</f>
        <v>1</v>
      </c>
      <c r="J8" s="36" t="b">
        <f aca="false">ABS(Drivers!J31-IS!J5)&lt;0.5</f>
        <v>1</v>
      </c>
      <c r="K8" s="36" t="b">
        <f aca="false">ABS(Drivers!K31-IS!K5)&lt;0.5</f>
        <v>1</v>
      </c>
      <c r="L8" s="36" t="b">
        <f aca="false">ABS(Drivers!L31-IS!L5)&lt;0.5</f>
        <v>1</v>
      </c>
      <c r="M8" s="3" t="s">
        <v>417</v>
      </c>
    </row>
    <row r="9" customFormat="false" ht="15" hidden="false" customHeight="false" outlineLevel="0" collapsed="false">
      <c r="A9" s="13" t="s">
        <v>418</v>
      </c>
      <c r="C9" s="36" t="b">
        <f aca="false">ABS(IS!C18-CF!C7)&lt;=2</f>
        <v>1</v>
      </c>
      <c r="D9" s="36" t="b">
        <f aca="false">ABS(IS!D18-CF!D7)&lt;=2</f>
        <v>1</v>
      </c>
      <c r="E9" s="36" t="b">
        <f aca="false">ABS(IS!E18-CF!E7)&lt;=2</f>
        <v>1</v>
      </c>
      <c r="F9" s="36" t="b">
        <f aca="false">ABS(IS!F18-CF!F7)&lt;=2</f>
        <v>1</v>
      </c>
      <c r="G9" s="36" t="b">
        <f aca="false">ABS(IS!G18-CF!G7)&lt;=2</f>
        <v>1</v>
      </c>
      <c r="H9" s="36" t="b">
        <f aca="false">ABS(IS!H18-CF!H7)&lt;0.5</f>
        <v>1</v>
      </c>
      <c r="I9" s="36" t="b">
        <f aca="false">ABS(IS!I18-CF!I7)&lt;0.5</f>
        <v>1</v>
      </c>
      <c r="J9" s="36" t="b">
        <f aca="false">ABS(IS!J18-CF!J7)&lt;0.5</f>
        <v>1</v>
      </c>
      <c r="K9" s="36" t="b">
        <f aca="false">ABS(IS!K18-CF!K7)&lt;0.5</f>
        <v>1</v>
      </c>
      <c r="L9" s="36" t="b">
        <f aca="false">ABS(IS!L18-CF!L7)&lt;0.5</f>
        <v>1</v>
      </c>
    </row>
    <row r="10" customFormat="false" ht="15" hidden="false" customHeight="false" outlineLevel="0" collapsed="false">
      <c r="A10" s="13" t="s">
        <v>419</v>
      </c>
      <c r="H10" s="36" t="b">
        <f aca="false">ABS(BS!H29-BS!G29-IS!H20-CF!H24)&lt;0.5</f>
        <v>1</v>
      </c>
      <c r="I10" s="36" t="b">
        <f aca="false">ABS(BS!I29-BS!H29-IS!I20-CF!I24)&lt;0.5</f>
        <v>1</v>
      </c>
      <c r="J10" s="36" t="b">
        <f aca="false">ABS(BS!J29-BS!I29-IS!J20-CF!J24)&lt;0.5</f>
        <v>1</v>
      </c>
      <c r="K10" s="36" t="b">
        <f aca="false">ABS(BS!K29-BS!J29-IS!K20-CF!K24)&lt;0.5</f>
        <v>1</v>
      </c>
      <c r="L10" s="36" t="b">
        <f aca="false">ABS(BS!L29-BS!K29-IS!L20-CF!L24)&lt;0.5</f>
        <v>1</v>
      </c>
    </row>
    <row r="11" customFormat="false" ht="15" hidden="false" customHeight="false" outlineLevel="0" collapsed="false">
      <c r="A11" s="13" t="s">
        <v>420</v>
      </c>
      <c r="H11" s="36" t="b">
        <f aca="false">ABS(DCF!H7-IS!H11)&lt;0.5</f>
        <v>1</v>
      </c>
      <c r="I11" s="36" t="b">
        <f aca="false">ABS(DCF!I7-IS!I11)&lt;0.5</f>
        <v>1</v>
      </c>
      <c r="J11" s="36" t="b">
        <f aca="false">ABS(DCF!J7-IS!J11)&lt;0.5</f>
        <v>1</v>
      </c>
      <c r="K11" s="36" t="b">
        <f aca="false">ABS(DCF!K7-IS!K11)&lt;0.5</f>
        <v>1</v>
      </c>
      <c r="L11" s="36" t="b">
        <f aca="false">ABS(DCF!L7-IS!L11)&lt;0.5</f>
        <v>1</v>
      </c>
    </row>
    <row r="12" customFormat="false" ht="15" hidden="false" customHeight="false" outlineLevel="0" collapsed="false">
      <c r="A12" s="13" t="s">
        <v>421</v>
      </c>
      <c r="H12" s="36" t="b">
        <f aca="false">ABS(DCF!H11-CF!H19)&lt;0.5</f>
        <v>1</v>
      </c>
      <c r="I12" s="36" t="b">
        <f aca="false">ABS(DCF!I11-CF!I19)&lt;0.5</f>
        <v>1</v>
      </c>
      <c r="J12" s="36" t="b">
        <f aca="false">ABS(DCF!J11-CF!J19)&lt;0.5</f>
        <v>1</v>
      </c>
      <c r="K12" s="36" t="b">
        <f aca="false">ABS(DCF!K11-CF!K19)&lt;0.5</f>
        <v>1</v>
      </c>
      <c r="L12" s="36" t="b">
        <f aca="false">ABS(DCF!L11-CF!L19)&lt;0.5</f>
        <v>1</v>
      </c>
    </row>
    <row r="13" customFormat="false" ht="15" hidden="false" customHeight="false" outlineLevel="0" collapsed="false">
      <c r="A13" s="13" t="s">
        <v>422</v>
      </c>
      <c r="H13" s="36" t="b">
        <f aca="false">ABS(DCF!H12-(CF!H11+CF!H12+CF!H13+CF!H14))&lt;0.5</f>
        <v>1</v>
      </c>
      <c r="I13" s="36" t="b">
        <f aca="false">ABS(DCF!I12-(CF!I11+CF!I12+CF!I13+CF!I14))&lt;0.5</f>
        <v>1</v>
      </c>
      <c r="J13" s="36" t="b">
        <f aca="false">ABS(DCF!J12-(CF!J11+CF!J12+CF!J13+CF!J14))&lt;0.5</f>
        <v>1</v>
      </c>
      <c r="K13" s="36" t="b">
        <f aca="false">ABS(DCF!K12-(CF!K11+CF!K12+CF!K13+CF!K14))&lt;0.5</f>
        <v>1</v>
      </c>
      <c r="L13" s="36" t="b">
        <f aca="false">ABS(DCF!L12-(CF!L11+CF!L12+CF!L13+CF!L14))&lt;0.5</f>
        <v>1</v>
      </c>
    </row>
    <row r="14" customFormat="false" ht="15" hidden="false" customHeight="false" outlineLevel="0" collapsed="false">
      <c r="A14" s="13" t="s">
        <v>423</v>
      </c>
      <c r="H14" s="36" t="b">
        <f aca="false">ABS(-DCF!H8/DCF!H7-Assumptions!$G$70)&lt;0.0001</f>
        <v>1</v>
      </c>
      <c r="I14" s="36" t="b">
        <f aca="false">ABS(-DCF!I8/DCF!I7-Assumptions!$G$70)&lt;0.0001</f>
        <v>1</v>
      </c>
      <c r="J14" s="36" t="b">
        <f aca="false">ABS(-DCF!J8/DCF!J7-Assumptions!$G$70)&lt;0.0001</f>
        <v>1</v>
      </c>
      <c r="K14" s="36" t="b">
        <f aca="false">ABS(-DCF!K8/DCF!K7-Assumptions!$G$70)&lt;0.0001</f>
        <v>1</v>
      </c>
      <c r="L14" s="36" t="b">
        <f aca="false">ABS(-DCF!L8/DCF!L7-Assumptions!$G$70)&lt;0.0001</f>
        <v>1</v>
      </c>
    </row>
    <row r="15" customFormat="false" ht="15" hidden="false" customHeight="false" outlineLevel="0" collapsed="false">
      <c r="A15" s="13" t="s">
        <v>424</v>
      </c>
      <c r="H15" s="36" t="b">
        <f aca="false">ABS(CF!H26+CF!H9)&lt;0.5</f>
        <v>1</v>
      </c>
      <c r="I15" s="36" t="b">
        <f aca="false">ABS(CF!I26+CF!I9)&lt;0.5</f>
        <v>1</v>
      </c>
      <c r="J15" s="36" t="b">
        <f aca="false">ABS(CF!J26+CF!J9)&lt;0.5</f>
        <v>1</v>
      </c>
      <c r="K15" s="36" t="b">
        <f aca="false">ABS(CF!K26+CF!K9)&lt;0.5</f>
        <v>1</v>
      </c>
      <c r="L15" s="36" t="b">
        <f aca="false">ABS(CF!L26+CF!L9)&lt;0.5</f>
        <v>1</v>
      </c>
    </row>
    <row r="16" customFormat="false" ht="15" hidden="false" customHeight="false" outlineLevel="0" collapsed="false">
      <c r="A16" s="13" t="s">
        <v>425</v>
      </c>
      <c r="C16" s="36" t="b">
        <f aca="false">ABS(Assumptions!$D$100+Assumptions!$D$99-1)&lt;0.000001</f>
        <v>1</v>
      </c>
    </row>
    <row r="17" customFormat="false" ht="15" hidden="false" customHeight="false" outlineLevel="0" collapsed="false">
      <c r="A17" s="13" t="s">
        <v>426</v>
      </c>
      <c r="C17" s="36" t="b">
        <f aca="false">DCF!$D$28&lt;DCF!$D$27</f>
        <v>1</v>
      </c>
    </row>
    <row r="18" customFormat="false" ht="15" hidden="false" customHeight="false" outlineLevel="0" collapsed="false">
      <c r="A18" s="13" t="s">
        <v>427</v>
      </c>
      <c r="C18" s="36" t="b">
        <f aca="false">DCF!$D$28&lt;=Assumptions!$D$87</f>
        <v>1</v>
      </c>
    </row>
    <row r="19" customFormat="false" ht="15" hidden="false" customHeight="false" outlineLevel="0" collapsed="false">
      <c r="A19" s="13" t="s">
        <v>428</v>
      </c>
      <c r="C19" s="36" t="b">
        <f aca="false">DCF!$D$51&lt;=Assumptions!$D$87</f>
        <v>1</v>
      </c>
    </row>
    <row r="20" customFormat="false" ht="15" hidden="false" customHeight="false" outlineLevel="0" collapsed="false">
      <c r="A20" s="13" t="s">
        <v>429</v>
      </c>
      <c r="C20" s="36" t="b">
        <f aca="false">ABS(Sensitivity!E8-DCF!$D$41)&lt;0.01</f>
        <v>1</v>
      </c>
    </row>
    <row r="21" customFormat="false" ht="15" hidden="false" customHeight="false" outlineLevel="0" collapsed="false">
      <c r="A21" s="13" t="s">
        <v>430</v>
      </c>
      <c r="C21" s="36" t="b">
        <f aca="false">ABS(Sensitivity!E16-DCF!$D$50)&lt;0.01</f>
        <v>1</v>
      </c>
    </row>
    <row r="22" customFormat="false" ht="15" hidden="false" customHeight="false" outlineLevel="0" collapsed="false">
      <c r="A22" s="13" t="s">
        <v>431</v>
      </c>
      <c r="C22" s="36" t="b">
        <f aca="false">OR(Scenario=1,Scenario=2,Scenario=3)</f>
        <v>1</v>
      </c>
    </row>
    <row r="23" customFormat="false" ht="15" hidden="false" customHeight="false" outlineLevel="0" collapsed="false">
      <c r="A23" s="13" t="s">
        <v>432</v>
      </c>
      <c r="C23" s="36" t="b">
        <f aca="false">AND(DCF!H19&gt;0,DCF!H19&lt;=1)</f>
        <v>1</v>
      </c>
    </row>
    <row r="25" customFormat="false" ht="15" hidden="false" customHeight="false" outlineLevel="0" collapsed="false">
      <c r="A25" s="2" t="s">
        <v>433</v>
      </c>
      <c r="C25" s="8" t="str">
        <f aca="false">IF(AND(C5,D5,E5,F5,G5,H5,I5,J5,K5,L5,C6,D6,E6,F6,G6,H6,I6,J6,K6,L6,H7,I7,J7,K7,L7,C8,D8,E8,F8,G8,H8,I8,J8,K8,L8,C9,D9,E9,F9,G9,H9,I9,J9,K9,L9,H10,I10,J10,K10,L10,H11,I11,J11,K11,L11,H12,I12,J12,K12,L12,H13,I13,J13,K13,L13,H14,I14,J14,K14,L14,H15,I15,J15,K15,L15,C16,C17,C18,C19,C20,C21,C22,C23),"ALL CHECKS PASS","CHECK FAILURES")</f>
        <v>ALL CHECKS PASS</v>
      </c>
      <c r="E25" s="3" t="s">
        <v>434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2026-10-29T16:09:58Z</dcterms:created>
  <dc:creator/>
  <dc:description/>
  <dc:language>en-US</dc:language>
  <cp:lastModifiedBy/>
  <dcterms:modified xsi:type="dcterms:W3CDTF">2026-10-29T16:09:58Z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